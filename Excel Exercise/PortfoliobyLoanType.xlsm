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xl/charts/chart13.xml" ContentType="application/vnd.openxmlformats-officedocument.drawingml.chart+xml"/>
  <Override PartName="/xl/charts/style8.xml" ContentType="application/vnd.ms-office.chartstyle+xml"/>
  <Override PartName="/xl/charts/colors8.xml" ContentType="application/vnd.ms-office.chartcolorstyle+xml"/>
  <Override PartName="/xl/charts/chart14.xml" ContentType="application/vnd.openxmlformats-officedocument.drawingml.chart+xml"/>
  <Override PartName="/xl/charts/style9.xml" ContentType="application/vnd.ms-office.chartstyle+xml"/>
  <Override PartName="/xl/charts/colors9.xml" ContentType="application/vnd.ms-office.chartcolorstyle+xml"/>
  <Override PartName="/xl/charts/chart15.xml" ContentType="application/vnd.openxmlformats-officedocument.drawingml.chart+xml"/>
  <Override PartName="/xl/charts/style10.xml" ContentType="application/vnd.ms-office.chartstyle+xml"/>
  <Override PartName="/xl/charts/colors10.xml" ContentType="application/vnd.ms-office.chartcolorstyle+xml"/>
  <Override PartName="/xl/charts/chart16.xml" ContentType="application/vnd.openxmlformats-officedocument.drawingml.chart+xml"/>
  <Override PartName="/xl/charts/style11.xml" ContentType="application/vnd.ms-office.chartstyle+xml"/>
  <Override PartName="/xl/charts/colors11.xml" ContentType="application/vnd.ms-office.chartcolorstyle+xml"/>
  <Override PartName="/xl/charts/chart17.xml" ContentType="application/vnd.openxmlformats-officedocument.drawingml.chart+xml"/>
  <Override PartName="/xl/charts/style12.xml" ContentType="application/vnd.ms-office.chartstyle+xml"/>
  <Override PartName="/xl/charts/colors12.xml" ContentType="application/vnd.ms-office.chartcolorstyle+xml"/>
  <Override PartName="/xl/charts/chart18.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hidePivotFieldList="1"/>
  <mc:AlternateContent xmlns:mc="http://schemas.openxmlformats.org/markup-compatibility/2006">
    <mc:Choice Requires="x15">
      <x15ac:absPath xmlns:x15ac="http://schemas.microsoft.com/office/spreadsheetml/2010/11/ac" url="E:\StudyDocs_2024\GITHUB_Portfolio\ExcelAnalysis\"/>
    </mc:Choice>
  </mc:AlternateContent>
  <xr:revisionPtr revIDLastSave="0" documentId="13_ncr:1_{4D277A43-C946-47EA-913E-25D55C17A338}" xr6:coauthVersionLast="47" xr6:coauthVersionMax="47" xr10:uidLastSave="{00000000-0000-0000-0000-000000000000}"/>
  <bookViews>
    <workbookView xWindow="-120" yWindow="-120" windowWidth="25440" windowHeight="15270" xr2:uid="{E233E0CA-2FAD-4DE8-8B33-6150341C9D7A}"/>
  </bookViews>
  <sheets>
    <sheet name="PortfoliobyLoanType" sheetId="5" r:id="rId1"/>
    <sheet name="Time Series Analysis" sheetId="6" r:id="rId2"/>
    <sheet name="Transformed Data for Pivoting" sheetId="9" r:id="rId3"/>
    <sheet name="Pivot Table Drill-down by Loan " sheetId="10" r:id="rId4"/>
    <sheet name="Loan Type Comparison by Recipie" sheetId="14" r:id="rId5"/>
    <sheet name="Forecasting trends - Loan Type" sheetId="16" r:id="rId6"/>
  </sheets>
  <definedNames>
    <definedName name="__xleta.OFFSET" hidden="1" xlm="1">#NAME?</definedName>
  </definedNames>
  <calcPr calcId="191029"/>
  <pivotCaches>
    <pivotCache cacheId="1"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65" i="16" l="1"/>
  <c r="C267" i="16"/>
  <c r="C266" i="16"/>
  <c r="C223" i="16"/>
  <c r="C222" i="16"/>
  <c r="C224" i="16"/>
  <c r="C182" i="16"/>
  <c r="C181" i="16"/>
  <c r="C180" i="16"/>
  <c r="C140" i="16"/>
  <c r="C142" i="16"/>
  <c r="C141" i="16"/>
  <c r="C104" i="16"/>
  <c r="C105" i="16"/>
  <c r="C103" i="16"/>
  <c r="C60" i="16"/>
  <c r="C62" i="16"/>
  <c r="C61" i="16"/>
  <c r="F4" i="9" l="1"/>
  <c r="F6" i="9"/>
  <c r="F8" i="9"/>
  <c r="F10" i="9"/>
  <c r="F12" i="9"/>
  <c r="F14" i="9"/>
  <c r="F16" i="9"/>
  <c r="F18" i="9"/>
  <c r="F20" i="9"/>
  <c r="F22" i="9"/>
  <c r="F24" i="9"/>
  <c r="F26" i="9"/>
  <c r="F28" i="9"/>
  <c r="F30" i="9"/>
  <c r="F32" i="9"/>
  <c r="F34" i="9"/>
  <c r="F36" i="9"/>
  <c r="F38" i="9"/>
  <c r="F40" i="9"/>
  <c r="F42" i="9"/>
  <c r="F44" i="9"/>
  <c r="F46" i="9"/>
  <c r="F48" i="9"/>
  <c r="F50" i="9"/>
  <c r="F52" i="9"/>
  <c r="F54" i="9"/>
  <c r="F56" i="9"/>
  <c r="F58" i="9"/>
  <c r="F60" i="9"/>
  <c r="F62" i="9"/>
  <c r="F64" i="9"/>
  <c r="F66" i="9"/>
  <c r="F68" i="9"/>
  <c r="F70" i="9"/>
  <c r="F72" i="9"/>
  <c r="F74" i="9"/>
  <c r="F76" i="9"/>
  <c r="F78" i="9"/>
  <c r="F80" i="9"/>
  <c r="F82" i="9"/>
  <c r="F84" i="9"/>
  <c r="F86" i="9"/>
  <c r="F88" i="9"/>
  <c r="F90" i="9"/>
  <c r="F92" i="9"/>
  <c r="F94" i="9"/>
  <c r="F96" i="9"/>
  <c r="F98" i="9"/>
  <c r="F100" i="9"/>
  <c r="F102" i="9"/>
  <c r="F104" i="9"/>
  <c r="F106" i="9"/>
  <c r="F108" i="9"/>
  <c r="F110" i="9"/>
  <c r="F112" i="9"/>
  <c r="F114" i="9"/>
  <c r="F116" i="9"/>
  <c r="F118" i="9"/>
  <c r="F120" i="9"/>
  <c r="F122" i="9"/>
  <c r="F124" i="9"/>
  <c r="F126" i="9"/>
  <c r="F128" i="9"/>
  <c r="F130" i="9"/>
  <c r="F132" i="9"/>
  <c r="F134" i="9"/>
  <c r="F136" i="9"/>
  <c r="F138" i="9"/>
  <c r="F140" i="9"/>
  <c r="F142" i="9"/>
  <c r="F144" i="9"/>
  <c r="F146" i="9"/>
  <c r="F148" i="9"/>
  <c r="F150" i="9"/>
  <c r="F152" i="9"/>
  <c r="F154" i="9"/>
  <c r="F156" i="9"/>
  <c r="F158" i="9"/>
  <c r="F160" i="9"/>
  <c r="F162" i="9"/>
  <c r="F164" i="9"/>
  <c r="F166" i="9"/>
  <c r="F168" i="9"/>
  <c r="F170" i="9"/>
  <c r="F172" i="9"/>
  <c r="F174" i="9"/>
  <c r="F176" i="9"/>
  <c r="F178" i="9"/>
  <c r="F180" i="9"/>
  <c r="F182" i="9"/>
  <c r="F184" i="9"/>
  <c r="F186" i="9"/>
  <c r="F188" i="9"/>
  <c r="F190" i="9"/>
  <c r="F192" i="9"/>
  <c r="F194" i="9"/>
  <c r="F196" i="9"/>
  <c r="F198" i="9"/>
  <c r="F200" i="9"/>
  <c r="F202" i="9"/>
  <c r="F204" i="9"/>
  <c r="F206" i="9"/>
  <c r="F208" i="9"/>
  <c r="F210" i="9"/>
  <c r="F212" i="9"/>
  <c r="F214" i="9"/>
  <c r="F216" i="9"/>
  <c r="F218" i="9"/>
  <c r="F220" i="9"/>
  <c r="F222" i="9"/>
  <c r="F224" i="9"/>
  <c r="F226" i="9"/>
  <c r="F228" i="9"/>
  <c r="F230" i="9"/>
  <c r="F232" i="9"/>
  <c r="F234" i="9"/>
  <c r="F236" i="9"/>
  <c r="F238" i="9"/>
  <c r="F240" i="9"/>
  <c r="F242" i="9"/>
  <c r="F244" i="9"/>
  <c r="F246" i="9"/>
  <c r="F248" i="9"/>
  <c r="F250" i="9"/>
  <c r="F252" i="9"/>
  <c r="F254" i="9"/>
  <c r="F256" i="9"/>
  <c r="F258" i="9"/>
  <c r="F260" i="9"/>
  <c r="F262" i="9"/>
  <c r="F264" i="9"/>
  <c r="F266" i="9"/>
  <c r="F268" i="9"/>
  <c r="F270" i="9"/>
  <c r="F272" i="9"/>
  <c r="F274" i="9"/>
  <c r="F276" i="9"/>
  <c r="F278" i="9"/>
  <c r="F280" i="9"/>
  <c r="F282" i="9"/>
  <c r="F284" i="9"/>
  <c r="F286" i="9"/>
  <c r="F288" i="9"/>
  <c r="F290" i="9"/>
  <c r="F292" i="9"/>
  <c r="F294" i="9"/>
  <c r="F296" i="9"/>
  <c r="F298" i="9"/>
  <c r="F300" i="9"/>
  <c r="F302" i="9"/>
  <c r="F304" i="9"/>
  <c r="F306" i="9"/>
  <c r="F308" i="9"/>
  <c r="F310" i="9"/>
  <c r="F312" i="9"/>
  <c r="F314" i="9"/>
  <c r="F316" i="9"/>
  <c r="F318" i="9"/>
  <c r="F320" i="9"/>
  <c r="F322" i="9"/>
  <c r="F324" i="9"/>
  <c r="F326" i="9"/>
  <c r="F328" i="9"/>
  <c r="F330" i="9"/>
  <c r="F332" i="9"/>
  <c r="F334" i="9"/>
  <c r="F336" i="9"/>
  <c r="F338" i="9"/>
  <c r="F340" i="9"/>
  <c r="F342" i="9"/>
  <c r="F344" i="9"/>
  <c r="F346" i="9"/>
  <c r="F348" i="9"/>
  <c r="F350" i="9"/>
  <c r="F352" i="9"/>
  <c r="F354" i="9"/>
  <c r="F356" i="9"/>
  <c r="F358" i="9"/>
  <c r="F360" i="9"/>
  <c r="F362" i="9"/>
  <c r="F364" i="9"/>
  <c r="F366" i="9"/>
  <c r="F368" i="9"/>
  <c r="F370" i="9"/>
  <c r="F372" i="9"/>
  <c r="F374" i="9"/>
  <c r="F376" i="9"/>
  <c r="F378" i="9"/>
  <c r="F380" i="9"/>
  <c r="F382" i="9"/>
  <c r="F384" i="9"/>
  <c r="F386" i="9"/>
  <c r="F388" i="9"/>
  <c r="F390" i="9"/>
  <c r="F392" i="9"/>
  <c r="F394" i="9"/>
  <c r="F396" i="9"/>
  <c r="F398" i="9"/>
  <c r="F400" i="9"/>
  <c r="F402" i="9"/>
  <c r="F404" i="9"/>
  <c r="F406" i="9"/>
  <c r="F408" i="9"/>
  <c r="F410" i="9"/>
  <c r="F412" i="9"/>
  <c r="F414" i="9"/>
  <c r="F416" i="9"/>
  <c r="F418" i="9"/>
  <c r="F420" i="9"/>
  <c r="F422" i="9"/>
  <c r="F424" i="9"/>
  <c r="F426" i="9"/>
  <c r="F428" i="9"/>
  <c r="F430" i="9"/>
  <c r="F432" i="9"/>
  <c r="F434" i="9"/>
  <c r="F436" i="9"/>
  <c r="F438" i="9"/>
  <c r="F440" i="9"/>
  <c r="F442" i="9"/>
  <c r="F444" i="9"/>
  <c r="F446" i="9"/>
  <c r="F448" i="9"/>
  <c r="F450" i="9"/>
  <c r="F452" i="9"/>
  <c r="F454" i="9"/>
  <c r="F456" i="9"/>
  <c r="F458" i="9"/>
  <c r="F460" i="9"/>
  <c r="F462" i="9"/>
  <c r="F464" i="9"/>
  <c r="F466" i="9"/>
  <c r="F468" i="9"/>
  <c r="F470" i="9"/>
  <c r="F472" i="9"/>
  <c r="F474" i="9"/>
  <c r="F476" i="9"/>
  <c r="F478" i="9"/>
  <c r="F480" i="9"/>
  <c r="F482" i="9"/>
  <c r="F484" i="9"/>
  <c r="F486" i="9"/>
  <c r="F488" i="9"/>
  <c r="F490" i="9"/>
  <c r="F492" i="9"/>
  <c r="F494" i="9"/>
  <c r="F496" i="9"/>
  <c r="F498" i="9"/>
  <c r="F500" i="9"/>
  <c r="F502" i="9"/>
  <c r="F504" i="9"/>
  <c r="F506" i="9"/>
  <c r="F508" i="9"/>
  <c r="F510" i="9"/>
  <c r="F512" i="9"/>
  <c r="F514" i="9"/>
  <c r="F516" i="9"/>
  <c r="F518" i="9"/>
  <c r="F520" i="9"/>
  <c r="F522" i="9"/>
  <c r="F524" i="9"/>
  <c r="F526" i="9"/>
  <c r="F528" i="9"/>
  <c r="F530" i="9"/>
  <c r="F532" i="9"/>
  <c r="F534" i="9"/>
  <c r="F536" i="9"/>
  <c r="F538" i="9"/>
  <c r="F540" i="9"/>
  <c r="F542" i="9"/>
  <c r="F544" i="9"/>
  <c r="F546" i="9"/>
  <c r="F548" i="9"/>
  <c r="F550" i="9"/>
  <c r="F552" i="9"/>
  <c r="F554" i="9"/>
  <c r="F556" i="9"/>
  <c r="F558" i="9"/>
  <c r="F560" i="9"/>
  <c r="F562" i="9"/>
  <c r="Y10" i="6"/>
  <c r="Y11" i="6"/>
  <c r="Y12" i="6"/>
  <c r="Y13" i="6"/>
  <c r="Y14" i="6"/>
  <c r="Y15" i="6"/>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40" i="6"/>
  <c r="U41" i="6"/>
  <c r="U42" i="6"/>
  <c r="U43" i="6"/>
  <c r="U44" i="6"/>
  <c r="U45" i="6"/>
  <c r="R10" i="6"/>
  <c r="R11" i="6"/>
  <c r="R12" i="6"/>
  <c r="R13" i="6"/>
  <c r="R14" i="6"/>
  <c r="R15" i="6"/>
  <c r="R16" i="6"/>
  <c r="R17" i="6"/>
  <c r="R18" i="6"/>
  <c r="R19" i="6"/>
  <c r="R20" i="6"/>
  <c r="R21" i="6"/>
  <c r="R22" i="6"/>
  <c r="R23" i="6"/>
  <c r="R24" i="6"/>
  <c r="R25" i="6"/>
  <c r="R26" i="6"/>
  <c r="R27" i="6"/>
  <c r="R28" i="6"/>
  <c r="R29" i="6"/>
  <c r="R30" i="6"/>
  <c r="R31" i="6"/>
  <c r="R32" i="6"/>
  <c r="R33" i="6"/>
  <c r="R34" i="6"/>
  <c r="R35" i="6"/>
  <c r="R36" i="6"/>
  <c r="R37" i="6"/>
  <c r="R38" i="6"/>
  <c r="R39" i="6"/>
  <c r="R40" i="6"/>
  <c r="R41" i="6"/>
  <c r="R42" i="6"/>
  <c r="R43" i="6"/>
  <c r="R44" i="6"/>
  <c r="R45" i="6"/>
  <c r="K7" i="6"/>
  <c r="K8" i="6"/>
  <c r="K9" i="6"/>
  <c r="K6"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10"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X6" i="6"/>
  <c r="X7" i="6"/>
  <c r="X8" i="6"/>
  <c r="X9" i="6"/>
  <c r="X10" i="6"/>
  <c r="X11" i="6"/>
  <c r="X12" i="6"/>
  <c r="X13" i="6"/>
  <c r="X14" i="6"/>
  <c r="X15" i="6"/>
  <c r="X16" i="6"/>
  <c r="X17" i="6"/>
  <c r="X18" i="6"/>
  <c r="X19" i="6"/>
  <c r="X20" i="6"/>
  <c r="X21" i="6"/>
  <c r="X22" i="6"/>
  <c r="X23" i="6"/>
  <c r="X24" i="6"/>
  <c r="X25" i="6"/>
  <c r="X26" i="6"/>
  <c r="X27" i="6"/>
  <c r="X28" i="6"/>
  <c r="X29" i="6"/>
  <c r="X30" i="6"/>
  <c r="X31" i="6"/>
  <c r="X32" i="6"/>
  <c r="X33" i="6"/>
  <c r="X34" i="6"/>
  <c r="X35" i="6"/>
  <c r="X36" i="6"/>
  <c r="X37" i="6"/>
  <c r="X38" i="6"/>
  <c r="X39" i="6"/>
  <c r="X40" i="6"/>
  <c r="X41" i="6"/>
  <c r="X42" i="6"/>
  <c r="X43" i="6"/>
  <c r="X44" i="6"/>
  <c r="X45"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6"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8" i="6"/>
  <c r="H7" i="6"/>
  <c r="H6"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W45"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8" i="6"/>
  <c r="W39" i="6"/>
  <c r="W40" i="6"/>
  <c r="W41" i="6"/>
  <c r="W42" i="6"/>
  <c r="W43" i="6"/>
  <c r="W44" i="6"/>
  <c r="D266" i="16"/>
  <c r="D267" i="16"/>
  <c r="E267" i="16"/>
  <c r="E265" i="16"/>
  <c r="D265" i="16"/>
  <c r="E266" i="16"/>
  <c r="E224" i="16"/>
  <c r="D224" i="16"/>
  <c r="E222" i="16"/>
  <c r="D222" i="16"/>
  <c r="D223" i="16"/>
  <c r="E223" i="16"/>
  <c r="E180" i="16"/>
  <c r="D180" i="16"/>
  <c r="E181" i="16"/>
  <c r="D181" i="16"/>
  <c r="E182" i="16"/>
  <c r="D182" i="16"/>
  <c r="E141" i="16"/>
  <c r="D141" i="16"/>
  <c r="E142" i="16"/>
  <c r="D142" i="16"/>
  <c r="D140" i="16"/>
  <c r="E140" i="16"/>
  <c r="E103" i="16"/>
  <c r="D103" i="16"/>
  <c r="E105" i="16"/>
  <c r="D105" i="16"/>
  <c r="D104" i="16"/>
  <c r="E104" i="16"/>
  <c r="E61" i="16"/>
  <c r="E62" i="16"/>
  <c r="D62" i="16"/>
  <c r="E60" i="16"/>
  <c r="D60" i="16"/>
  <c r="D61" i="16"/>
  <c r="C16" i="16"/>
  <c r="C17" i="16"/>
  <c r="C18" i="16"/>
  <c r="L33" i="6" l="1"/>
  <c r="L41" i="6"/>
  <c r="L25" i="6"/>
  <c r="L36" i="6"/>
  <c r="O13" i="6"/>
  <c r="L17" i="6"/>
  <c r="O39" i="6"/>
  <c r="O11" i="6"/>
  <c r="O41" i="6"/>
  <c r="O17" i="6"/>
  <c r="L13" i="6"/>
  <c r="O24" i="6"/>
  <c r="L32" i="6"/>
  <c r="L24" i="6"/>
  <c r="L16" i="6"/>
  <c r="L28" i="6"/>
  <c r="O20" i="6"/>
  <c r="L44" i="6"/>
  <c r="L40" i="6"/>
  <c r="O44" i="6"/>
  <c r="O42" i="6"/>
  <c r="O34" i="6"/>
  <c r="L26" i="6"/>
  <c r="L22" i="6"/>
  <c r="L43" i="6"/>
  <c r="L35" i="6"/>
  <c r="L23" i="6"/>
  <c r="L19" i="6"/>
  <c r="O27" i="6"/>
  <c r="O14" i="6"/>
  <c r="L10" i="6"/>
  <c r="L20" i="6"/>
  <c r="L12" i="6"/>
  <c r="O45" i="6"/>
  <c r="L21" i="6"/>
  <c r="O38" i="6"/>
  <c r="O36" i="6"/>
  <c r="L29" i="6"/>
  <c r="O10" i="6"/>
  <c r="O30" i="6"/>
  <c r="O22" i="6"/>
  <c r="L27" i="6"/>
  <c r="O37" i="6"/>
  <c r="L45" i="6"/>
  <c r="O21" i="6"/>
  <c r="O40" i="6"/>
  <c r="O28" i="6"/>
  <c r="L37" i="6"/>
  <c r="O43" i="6"/>
  <c r="O35" i="6"/>
  <c r="L31" i="6"/>
  <c r="O25" i="6"/>
  <c r="O18" i="6"/>
  <c r="L38" i="6"/>
  <c r="L30" i="6"/>
  <c r="L18" i="6"/>
  <c r="O29" i="6"/>
  <c r="O32" i="6"/>
  <c r="O26" i="6"/>
  <c r="O23" i="6"/>
  <c r="O16" i="6"/>
  <c r="O33" i="6"/>
  <c r="O15" i="6"/>
  <c r="L39" i="6"/>
  <c r="L15" i="6"/>
  <c r="L11" i="6"/>
  <c r="L14" i="6"/>
  <c r="L34" i="6"/>
  <c r="O12" i="6"/>
  <c r="O31" i="6"/>
  <c r="O19" i="6"/>
  <c r="L42" i="6"/>
  <c r="E18" i="16"/>
  <c r="D18" i="16"/>
  <c r="D17" i="16"/>
  <c r="E17" i="16"/>
  <c r="D16" i="16"/>
  <c r="E16" i="16"/>
</calcChain>
</file>

<file path=xl/sharedStrings.xml><?xml version="1.0" encoding="utf-8"?>
<sst xmlns="http://schemas.openxmlformats.org/spreadsheetml/2006/main" count="1989" uniqueCount="97">
  <si>
    <t>Data Source: National Student Loan Data System (NSLDS)</t>
  </si>
  <si>
    <t>Includes outstanding principal and interest balances</t>
  </si>
  <si>
    <t>Federal Fiscal Year</t>
  </si>
  <si>
    <t>Q2</t>
  </si>
  <si>
    <t>Portfolio by Loan Type</t>
  </si>
  <si>
    <t>Stafford Unsubsidized</t>
  </si>
  <si>
    <t>Stafford (Combined)</t>
  </si>
  <si>
    <t>Grad PLUS</t>
  </si>
  <si>
    <t>Parent PLUS</t>
  </si>
  <si>
    <t>Perkins</t>
  </si>
  <si>
    <t>Consolidation</t>
  </si>
  <si>
    <t xml:space="preserve">Notes: </t>
  </si>
  <si>
    <r>
      <rPr>
        <vertAlign val="superscript"/>
        <sz val="11"/>
        <rFont val="Times New Roman"/>
        <family val="1"/>
      </rPr>
      <t>2</t>
    </r>
    <r>
      <rPr>
        <sz val="11"/>
        <rFont val="Times New Roman"/>
        <family val="1"/>
      </rPr>
      <t xml:space="preserve"> Data is run at the end of the corresponding federal fiscal year or at the end of each quarter listed by federal fiscal year. Each federal fiscal year begins October 1 and ends September 30. Q1 ends 12/31, Q2 ends 3/31, Q3 ends 6/30, and Q4 ends 9/30.</t>
    </r>
  </si>
  <si>
    <r>
      <rPr>
        <vertAlign val="superscript"/>
        <sz val="11"/>
        <rFont val="Times New Roman"/>
        <family val="1"/>
      </rPr>
      <t>3</t>
    </r>
    <r>
      <rPr>
        <sz val="11"/>
        <rFont val="Times New Roman"/>
        <family val="1"/>
      </rPr>
      <t xml:space="preserve"> Recipient is the student that benefits from the federal student loan. In most cases, the recipient is the borrower, but in parent PLUS loans, the parent is the borrower and their child is the recipient.</t>
    </r>
  </si>
  <si>
    <r>
      <rPr>
        <vertAlign val="superscript"/>
        <sz val="11"/>
        <rFont val="Times New Roman"/>
        <family val="1"/>
      </rPr>
      <t>1</t>
    </r>
    <r>
      <rPr>
        <sz val="11"/>
        <rFont val="Times New Roman"/>
        <family val="1"/>
      </rPr>
      <t>Totals may differ across portfolio reports due to rounding and the timing of the data runs.</t>
    </r>
  </si>
  <si>
    <t>Q3</t>
  </si>
  <si>
    <t>Q4</t>
  </si>
  <si>
    <r>
      <rPr>
        <vertAlign val="superscript"/>
        <sz val="11"/>
        <rFont val="Times New Roman"/>
        <family val="1"/>
      </rPr>
      <t>4</t>
    </r>
    <r>
      <rPr>
        <sz val="11"/>
        <rFont val="Times New Roman"/>
        <family val="1"/>
      </rPr>
      <t xml:space="preserve">  Recipient counts are based at the loan level. As a result, recipients may be counted multiple times across varying loan statuses. Stafford (Combined) is the total of Stafford Subsidized and Stafford Unsubsidized and includes a unique Stafford recipient count. </t>
    </r>
  </si>
  <si>
    <t>Q1</t>
  </si>
  <si>
    <t>Loan Type</t>
  </si>
  <si>
    <t>Year</t>
  </si>
  <si>
    <t>Column16</t>
  </si>
  <si>
    <t>Quarter</t>
  </si>
  <si>
    <t>YOY - Growth - SS</t>
  </si>
  <si>
    <t>YOY - Growth-SU</t>
  </si>
  <si>
    <t>MovingAverage-SS</t>
  </si>
  <si>
    <t>MovingAverage-SU</t>
  </si>
  <si>
    <t>Moving Average-SC</t>
  </si>
  <si>
    <t>YOY Growth - SC</t>
  </si>
  <si>
    <t>Moving Average-GP</t>
  </si>
  <si>
    <t>YOY Growth - GP</t>
  </si>
  <si>
    <t>Moving Average-PP</t>
  </si>
  <si>
    <t>YOY Growth - PP</t>
  </si>
  <si>
    <t>Moving Average-P</t>
  </si>
  <si>
    <t>YOY Growth - P</t>
  </si>
  <si>
    <t>Moving Average-C</t>
  </si>
  <si>
    <t>YOY Growth - C</t>
  </si>
  <si>
    <t>Grand Total</t>
  </si>
  <si>
    <t>Stafford Subsidized - Recipients</t>
  </si>
  <si>
    <t>Stafford Unsubsidized - Recipients</t>
  </si>
  <si>
    <t>Stafford (Combined)  - Recipients</t>
  </si>
  <si>
    <t>Grad PLUS  - Recipients</t>
  </si>
  <si>
    <t>Parent PLUS  - Recipients</t>
  </si>
  <si>
    <t>Perkins  - Recipients</t>
  </si>
  <si>
    <t>Consolidation  - Recipients</t>
  </si>
  <si>
    <t xml:space="preserve"> Fiscal Year</t>
  </si>
  <si>
    <t>2. Line charts to visualize the changes in loan types over quarters/years - Q3 always shows a dip for all loan types and it shoots up in Q4</t>
  </si>
  <si>
    <t>2015 Total</t>
  </si>
  <si>
    <t>2016 Total</t>
  </si>
  <si>
    <t>2017 Total</t>
  </si>
  <si>
    <t>2018 Total</t>
  </si>
  <si>
    <t>2019 Total</t>
  </si>
  <si>
    <t>2020 Total</t>
  </si>
  <si>
    <t>2021 Total</t>
  </si>
  <si>
    <t>2022 Total</t>
  </si>
  <si>
    <t>2023 Total</t>
  </si>
  <si>
    <t>2024 Total</t>
  </si>
  <si>
    <t>Metric</t>
  </si>
  <si>
    <t xml:space="preserve">Stafford Subsidized </t>
  </si>
  <si>
    <t>Dollars Outstanding (in billons)</t>
  </si>
  <si>
    <t>Recipients (in millions)</t>
  </si>
  <si>
    <t>Value</t>
  </si>
  <si>
    <t>Goal: Segment the data for deeper analysis by loan types and periods.</t>
  </si>
  <si>
    <t>Selected Metric Value</t>
  </si>
  <si>
    <t>We ignored the year 2014 as all the quarters are not present</t>
  </si>
  <si>
    <t>Goal: Identify trends and seasonality in loan balances and recipients over time - This is Federal Scheme of Loans</t>
  </si>
  <si>
    <t>Goal: Identify which loan types have the highest or lowest number of recipients</t>
  </si>
  <si>
    <t>Highest recipients</t>
  </si>
  <si>
    <t>Lowest recipients</t>
  </si>
  <si>
    <t>Stafford Combined (Unique) recipients</t>
  </si>
  <si>
    <t>Grad PLUS Recipients</t>
  </si>
  <si>
    <t xml:space="preserve"> Dollars Outstanding
(in billions)</t>
  </si>
  <si>
    <t xml:space="preserve"> Recipients
(in millions)</t>
  </si>
  <si>
    <t xml:space="preserve"> Unique Recipients
(in millions)</t>
  </si>
  <si>
    <t>Stafford Subsidized</t>
  </si>
  <si>
    <t>Loan Delinquency Risk Estimation</t>
  </si>
  <si>
    <t>Average outstanding loan per recipient</t>
  </si>
  <si>
    <t>High-risk loans</t>
  </si>
  <si>
    <r>
      <t>Any average outstanding loan per recipient which is more that 50 billion is marked as a high risk loan in</t>
    </r>
    <r>
      <rPr>
        <i/>
        <sz val="10"/>
        <color indexed="50"/>
        <rFont val="Arial"/>
        <family val="2"/>
      </rPr>
      <t xml:space="preserve"> green</t>
    </r>
    <r>
      <rPr>
        <i/>
        <sz val="10"/>
        <rFont val="Arial"/>
        <family val="2"/>
      </rPr>
      <t xml:space="preserve"> color.</t>
    </r>
  </si>
  <si>
    <t>Forecast( Dollars Outstanding
(in billions))</t>
  </si>
  <si>
    <t>Lower Confidence Bound( Dollars Outstanding
(in billions))</t>
  </si>
  <si>
    <t>Upper Confidence Bound( Dollars Outstanding
(in billions))</t>
  </si>
  <si>
    <r>
      <t xml:space="preserve">Forecasting the data for </t>
    </r>
    <r>
      <rPr>
        <b/>
        <sz val="10"/>
        <rFont val="Arial"/>
        <family val="2"/>
      </rPr>
      <t>Stafford Subsidized</t>
    </r>
  </si>
  <si>
    <t>Stafford Subsidized - Outstanding Loan Amount in billions</t>
  </si>
  <si>
    <t>Stafford Unsubsidized - Outstanding Loan Amount in billions</t>
  </si>
  <si>
    <r>
      <rPr>
        <sz val="10"/>
        <rFont val="Arial"/>
        <family val="2"/>
      </rPr>
      <t>Forecasting the data for</t>
    </r>
    <r>
      <rPr>
        <b/>
        <sz val="10"/>
        <rFont val="Arial"/>
        <family val="2"/>
      </rPr>
      <t xml:space="preserve"> Stafford UnSubsidized</t>
    </r>
  </si>
  <si>
    <r>
      <rPr>
        <sz val="10"/>
        <rFont val="Arial"/>
        <family val="2"/>
      </rPr>
      <t>Forecasting the data for</t>
    </r>
    <r>
      <rPr>
        <b/>
        <sz val="10"/>
        <rFont val="Arial"/>
        <family val="2"/>
      </rPr>
      <t xml:space="preserve"> Stafford Combined</t>
    </r>
  </si>
  <si>
    <t>GRAD Plus - Outstanding Loan Amount in billions</t>
  </si>
  <si>
    <t>Stafford Combined - Outstanding Loan Amount in billions</t>
  </si>
  <si>
    <r>
      <rPr>
        <sz val="10"/>
        <rFont val="Arial"/>
        <family val="2"/>
      </rPr>
      <t>Forecasting the data for</t>
    </r>
    <r>
      <rPr>
        <b/>
        <sz val="10"/>
        <rFont val="Arial"/>
        <family val="2"/>
      </rPr>
      <t xml:space="preserve"> GRAD Plus</t>
    </r>
  </si>
  <si>
    <t>Parent PLUS  - Outstanding Loan Amount in billions</t>
  </si>
  <si>
    <r>
      <rPr>
        <sz val="10"/>
        <rFont val="Arial"/>
        <family val="2"/>
      </rPr>
      <t>Forecasting the data for</t>
    </r>
    <r>
      <rPr>
        <b/>
        <sz val="10"/>
        <rFont val="Arial"/>
        <family val="2"/>
      </rPr>
      <t xml:space="preserve"> Parent Plus</t>
    </r>
  </si>
  <si>
    <t>Perkins - Outstanding Loan Amount in billions</t>
  </si>
  <si>
    <r>
      <rPr>
        <sz val="10"/>
        <rFont val="Arial"/>
        <family val="2"/>
      </rPr>
      <t>Forecasting the data for</t>
    </r>
    <r>
      <rPr>
        <b/>
        <sz val="10"/>
        <rFont val="Arial"/>
        <family val="2"/>
      </rPr>
      <t xml:space="preserve"> Perkins</t>
    </r>
  </si>
  <si>
    <t>Consolidation - Outstanding Loan Amount in billions</t>
  </si>
  <si>
    <r>
      <rPr>
        <sz val="10"/>
        <rFont val="Arial"/>
        <family val="2"/>
      </rPr>
      <t>Forecasting the data for</t>
    </r>
    <r>
      <rPr>
        <b/>
        <sz val="10"/>
        <rFont val="Arial"/>
        <family val="2"/>
      </rPr>
      <t xml:space="preserve"> Consolidation</t>
    </r>
  </si>
  <si>
    <t>Prepared the data for analyzing and forecasting (We have taken full quarter years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</si>
</sst>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
    <numFmt numFmtId="165" formatCode="&quot;$&quot;#,##0.0"/>
    <numFmt numFmtId="166" formatCode="&quot;$&quot;#,##0.0_);[Red]\(&quot;$&quot;#,##0.0\)"/>
    <numFmt numFmtId="167" formatCode="#,##0.0"/>
  </numFmts>
  <fonts count="16" x14ac:knownFonts="1">
    <font>
      <sz val="10"/>
      <name val="Arial"/>
    </font>
    <font>
      <sz val="10"/>
      <name val="Arial"/>
      <family val="2"/>
    </font>
    <font>
      <b/>
      <sz val="12"/>
      <name val="Times New Roman"/>
      <family val="1"/>
    </font>
    <font>
      <sz val="10"/>
      <name val="Arial"/>
      <family val="2"/>
    </font>
    <font>
      <sz val="12"/>
      <name val="Times New Roman"/>
      <family val="1"/>
    </font>
    <font>
      <sz val="12"/>
      <color indexed="8"/>
      <name val="Times New Roman"/>
      <family val="1"/>
    </font>
    <font>
      <b/>
      <sz val="14"/>
      <name val="Times New Roman"/>
      <family val="1"/>
    </font>
    <font>
      <i/>
      <sz val="12"/>
      <name val="Times New Roman"/>
      <family val="1"/>
    </font>
    <font>
      <b/>
      <sz val="11"/>
      <name val="Times New Roman"/>
      <family val="1"/>
    </font>
    <font>
      <sz val="11"/>
      <name val="Times New Roman"/>
      <family val="1"/>
    </font>
    <font>
      <vertAlign val="superscript"/>
      <sz val="11"/>
      <name val="Times New Roman"/>
      <family val="1"/>
    </font>
    <font>
      <b/>
      <sz val="10"/>
      <name val="Arial"/>
      <family val="2"/>
    </font>
    <font>
      <sz val="8"/>
      <name val="Arial"/>
      <family val="2"/>
    </font>
    <font>
      <i/>
      <sz val="10"/>
      <name val="Arial"/>
      <family val="2"/>
    </font>
    <font>
      <i/>
      <sz val="10"/>
      <color indexed="50"/>
      <name val="Arial"/>
      <family val="2"/>
    </font>
    <font>
      <sz val="12"/>
      <color theme="1"/>
      <name val="Times New Roman"/>
      <family val="1"/>
    </font>
  </fonts>
  <fills count="6">
    <fill>
      <patternFill patternType="none"/>
    </fill>
    <fill>
      <patternFill patternType="gray125"/>
    </fill>
    <fill>
      <patternFill patternType="solid">
        <fgColor theme="7" tint="0.79998168889431442"/>
        <bgColor indexed="64"/>
      </patternFill>
    </fill>
    <fill>
      <patternFill patternType="solid">
        <fgColor theme="0"/>
        <bgColor indexed="64"/>
      </patternFill>
    </fill>
    <fill>
      <patternFill patternType="solid">
        <fgColor theme="1"/>
        <bgColor indexed="64"/>
      </patternFill>
    </fill>
    <fill>
      <patternFill patternType="solid">
        <fgColor them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rgb="FFABABAB"/>
      </top>
      <bottom style="thin">
        <color rgb="FFABABAB"/>
      </bottom>
      <diagonal/>
    </border>
    <border>
      <left style="thin">
        <color rgb="FFABABAB"/>
      </left>
      <right/>
      <top/>
      <bottom/>
      <diagonal/>
    </border>
    <border>
      <left/>
      <right/>
      <top style="thin">
        <color rgb="FFABABAB"/>
      </top>
      <bottom/>
      <diagonal/>
    </border>
    <border>
      <left style="thin">
        <color rgb="FFABABAB"/>
      </left>
      <right style="thin">
        <color rgb="FFABABAB"/>
      </right>
      <top style="thin">
        <color rgb="FFABABAB"/>
      </top>
      <bottom/>
      <diagonal/>
    </border>
    <border>
      <left style="thin">
        <color rgb="FFABABAB"/>
      </left>
      <right style="thin">
        <color rgb="FFABABAB"/>
      </right>
      <top/>
      <bottom/>
      <diagonal/>
    </border>
    <border>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rgb="FFABABAB"/>
      </left>
      <right/>
      <top style="thin">
        <color indexed="9"/>
      </top>
      <bottom/>
      <diagonal/>
    </border>
    <border>
      <left style="thin">
        <color indexed="9"/>
      </left>
      <right/>
      <top style="thin">
        <color rgb="FFABABAB"/>
      </top>
      <bottom style="thin">
        <color rgb="FFABABAB"/>
      </bottom>
      <diagonal/>
    </border>
  </borders>
  <cellStyleXfs count="2">
    <xf numFmtId="0" fontId="0" fillId="0" borderId="0"/>
    <xf numFmtId="44" fontId="1" fillId="0" borderId="0" applyFont="0" applyFill="0" applyBorder="0" applyAlignment="0" applyProtection="0"/>
  </cellStyleXfs>
  <cellXfs count="129">
    <xf numFmtId="0" fontId="0" fillId="0" borderId="0" xfId="0"/>
    <xf numFmtId="0" fontId="5" fillId="2" borderId="1" xfId="1" applyNumberFormat="1" applyFont="1" applyFill="1" applyBorder="1" applyAlignment="1">
      <alignment horizontal="center" vertical="center"/>
    </xf>
    <xf numFmtId="0" fontId="4" fillId="3" borderId="1" xfId="1" applyNumberFormat="1" applyFont="1" applyFill="1" applyBorder="1" applyAlignment="1">
      <alignment horizontal="center" vertical="center"/>
    </xf>
    <xf numFmtId="165" fontId="5" fillId="3" borderId="1" xfId="1" applyNumberFormat="1" applyFont="1" applyFill="1" applyBorder="1" applyAlignment="1">
      <alignment horizontal="center" vertical="center"/>
    </xf>
    <xf numFmtId="166" fontId="4" fillId="2" borderId="1" xfId="1" applyNumberFormat="1" applyFont="1" applyFill="1" applyBorder="1" applyAlignment="1">
      <alignment horizontal="center" vertical="center"/>
    </xf>
    <xf numFmtId="0" fontId="4" fillId="0" borderId="0" xfId="0" applyFont="1" applyAlignment="1">
      <alignment horizontal="center"/>
    </xf>
    <xf numFmtId="16" fontId="2" fillId="0" borderId="2" xfId="0" applyNumberFormat="1" applyFont="1" applyBorder="1" applyAlignment="1">
      <alignment horizontal="center" vertical="center"/>
    </xf>
    <xf numFmtId="164" fontId="4" fillId="3" borderId="1" xfId="1" applyNumberFormat="1" applyFont="1" applyFill="1" applyBorder="1" applyAlignment="1">
      <alignment horizontal="center" vertical="center"/>
    </xf>
    <xf numFmtId="0" fontId="2" fillId="0" borderId="3" xfId="0" applyFont="1" applyBorder="1" applyAlignment="1">
      <alignment horizontal="center" vertical="center"/>
    </xf>
    <xf numFmtId="166" fontId="0" fillId="0" borderId="0" xfId="0" applyNumberFormat="1"/>
    <xf numFmtId="164" fontId="5" fillId="2" borderId="1" xfId="1" applyNumberFormat="1" applyFont="1" applyFill="1" applyBorder="1" applyAlignment="1">
      <alignment horizontal="center" vertical="center"/>
    </xf>
    <xf numFmtId="16" fontId="2" fillId="0" borderId="1" xfId="0" applyNumberFormat="1" applyFont="1" applyBorder="1" applyAlignment="1">
      <alignment horizontal="center" vertical="center"/>
    </xf>
    <xf numFmtId="16" fontId="2" fillId="3" borderId="1" xfId="0" applyNumberFormat="1" applyFont="1" applyFill="1" applyBorder="1" applyAlignment="1">
      <alignment horizontal="center" vertical="center"/>
    </xf>
    <xf numFmtId="0" fontId="4" fillId="2" borderId="1" xfId="1" applyNumberFormat="1" applyFont="1" applyFill="1" applyBorder="1" applyAlignment="1">
      <alignment horizontal="center" vertical="center"/>
    </xf>
    <xf numFmtId="165" fontId="15" fillId="2" borderId="1" xfId="0" applyNumberFormat="1" applyFont="1" applyFill="1" applyBorder="1" applyAlignment="1">
      <alignment horizontal="center" vertical="center"/>
    </xf>
    <xf numFmtId="167" fontId="15" fillId="2" borderId="1" xfId="0" applyNumberFormat="1" applyFont="1" applyFill="1" applyBorder="1" applyAlignment="1">
      <alignment horizontal="center" vertical="center"/>
    </xf>
    <xf numFmtId="165" fontId="15" fillId="3" borderId="1" xfId="0" applyNumberFormat="1" applyFont="1" applyFill="1" applyBorder="1" applyAlignment="1">
      <alignment horizontal="center" vertical="center"/>
    </xf>
    <xf numFmtId="167" fontId="15" fillId="3" borderId="1" xfId="0" applyNumberFormat="1" applyFont="1" applyFill="1" applyBorder="1" applyAlignment="1">
      <alignment horizontal="center" vertical="center"/>
    </xf>
    <xf numFmtId="0" fontId="2" fillId="0" borderId="4" xfId="0" applyFont="1" applyBorder="1" applyAlignment="1">
      <alignment horizontal="center" vertical="center"/>
    </xf>
    <xf numFmtId="16" fontId="2" fillId="3" borderId="4" xfId="0" applyNumberFormat="1" applyFont="1" applyFill="1" applyBorder="1" applyAlignment="1">
      <alignment horizontal="center" vertical="center"/>
    </xf>
    <xf numFmtId="165" fontId="15" fillId="2" borderId="4" xfId="0" applyNumberFormat="1" applyFont="1" applyFill="1" applyBorder="1" applyAlignment="1">
      <alignment horizontal="center" vertical="center"/>
    </xf>
    <xf numFmtId="167" fontId="15" fillId="2" borderId="4" xfId="0" applyNumberFormat="1" applyFont="1" applyFill="1" applyBorder="1" applyAlignment="1">
      <alignment horizontal="center" vertical="center"/>
    </xf>
    <xf numFmtId="165" fontId="15" fillId="3" borderId="4" xfId="0" applyNumberFormat="1" applyFont="1" applyFill="1" applyBorder="1" applyAlignment="1">
      <alignment horizontal="center" vertical="center"/>
    </xf>
    <xf numFmtId="167" fontId="15" fillId="3" borderId="4" xfId="0" applyNumberFormat="1" applyFont="1" applyFill="1" applyBorder="1" applyAlignment="1">
      <alignment horizontal="center" vertical="center"/>
    </xf>
    <xf numFmtId="166" fontId="4" fillId="2" borderId="4" xfId="1" applyNumberFormat="1" applyFont="1" applyFill="1" applyBorder="1" applyAlignment="1">
      <alignment horizontal="center" vertical="center"/>
    </xf>
    <xf numFmtId="167" fontId="4" fillId="2" borderId="4" xfId="0" applyNumberFormat="1" applyFont="1" applyFill="1" applyBorder="1" applyAlignment="1">
      <alignment horizontal="center" vertical="center"/>
    </xf>
    <xf numFmtId="164" fontId="4" fillId="3" borderId="4" xfId="1" applyNumberFormat="1" applyFont="1" applyFill="1" applyBorder="1" applyAlignment="1">
      <alignment horizontal="center" vertical="center"/>
    </xf>
    <xf numFmtId="0" fontId="5" fillId="2" borderId="4" xfId="1" applyNumberFormat="1" applyFont="1" applyFill="1" applyBorder="1" applyAlignment="1">
      <alignment horizontal="center" vertical="center"/>
    </xf>
    <xf numFmtId="0" fontId="2" fillId="0" borderId="1" xfId="0" applyFont="1" applyBorder="1" applyAlignment="1">
      <alignment horizontal="center" vertical="center"/>
    </xf>
    <xf numFmtId="0" fontId="8" fillId="0" borderId="0" xfId="0" applyFont="1" applyAlignment="1">
      <alignment vertical="top"/>
    </xf>
    <xf numFmtId="0" fontId="6" fillId="0" borderId="0" xfId="0" applyFont="1" applyAlignment="1">
      <alignment horizontal="center"/>
    </xf>
    <xf numFmtId="0" fontId="7" fillId="0" borderId="0" xfId="0" applyFont="1" applyAlignment="1">
      <alignment horizontal="center"/>
    </xf>
    <xf numFmtId="164" fontId="15" fillId="2" borderId="1" xfId="0" applyNumberFormat="1" applyFont="1" applyFill="1" applyBorder="1" applyAlignment="1">
      <alignment horizontal="center" vertical="center"/>
    </xf>
    <xf numFmtId="164" fontId="15" fillId="3" borderId="1" xfId="0" applyNumberFormat="1" applyFont="1" applyFill="1" applyBorder="1" applyAlignment="1">
      <alignment horizontal="center" vertical="center"/>
    </xf>
    <xf numFmtId="165" fontId="4" fillId="3" borderId="1" xfId="0" applyNumberFormat="1" applyFont="1" applyFill="1" applyBorder="1" applyAlignment="1">
      <alignment horizontal="center" vertical="center"/>
    </xf>
    <xf numFmtId="164" fontId="4" fillId="3" borderId="1" xfId="0" applyNumberFormat="1" applyFont="1" applyFill="1" applyBorder="1" applyAlignment="1">
      <alignment horizontal="center" vertical="center"/>
    </xf>
    <xf numFmtId="165" fontId="4" fillId="2" borderId="1" xfId="0" applyNumberFormat="1" applyFont="1" applyFill="1" applyBorder="1" applyAlignment="1">
      <alignment horizontal="center" vertical="center"/>
    </xf>
    <xf numFmtId="164" fontId="4" fillId="2" borderId="1" xfId="0" applyNumberFormat="1" applyFont="1" applyFill="1" applyBorder="1" applyAlignment="1">
      <alignment horizontal="center" vertical="center"/>
    </xf>
    <xf numFmtId="167" fontId="4" fillId="3" borderId="1" xfId="0" applyNumberFormat="1" applyFont="1" applyFill="1" applyBorder="1" applyAlignment="1">
      <alignment horizontal="center" vertical="center"/>
    </xf>
    <xf numFmtId="167" fontId="4" fillId="2" borderId="1" xfId="0" applyNumberFormat="1" applyFont="1" applyFill="1" applyBorder="1" applyAlignment="1">
      <alignment horizontal="center" vertical="center"/>
    </xf>
    <xf numFmtId="167" fontId="4" fillId="2" borderId="0" xfId="0" applyNumberFormat="1" applyFont="1" applyFill="1" applyAlignment="1">
      <alignment horizontal="center" vertical="center"/>
    </xf>
    <xf numFmtId="165" fontId="4" fillId="2" borderId="4" xfId="0" applyNumberFormat="1" applyFont="1" applyFill="1" applyBorder="1" applyAlignment="1">
      <alignment horizontal="center" vertical="center"/>
    </xf>
    <xf numFmtId="164" fontId="4" fillId="2" borderId="4" xfId="0" applyNumberFormat="1" applyFont="1" applyFill="1" applyBorder="1" applyAlignment="1">
      <alignment horizontal="center" vertical="center"/>
    </xf>
    <xf numFmtId="165" fontId="4" fillId="3" borderId="4" xfId="0" applyNumberFormat="1" applyFont="1" applyFill="1" applyBorder="1" applyAlignment="1">
      <alignment horizontal="center" vertical="center"/>
    </xf>
    <xf numFmtId="164" fontId="4" fillId="3" borderId="4" xfId="0" applyNumberFormat="1" applyFont="1" applyFill="1" applyBorder="1" applyAlignment="1">
      <alignment horizontal="center" vertical="center"/>
    </xf>
    <xf numFmtId="167" fontId="4" fillId="3" borderId="4" xfId="0" applyNumberFormat="1" applyFont="1" applyFill="1" applyBorder="1" applyAlignment="1">
      <alignment horizontal="center" vertical="center"/>
    </xf>
    <xf numFmtId="165" fontId="0" fillId="0" borderId="0" xfId="0" applyNumberFormat="1"/>
    <xf numFmtId="167" fontId="0" fillId="0" borderId="0" xfId="0" applyNumberFormat="1"/>
    <xf numFmtId="0" fontId="2" fillId="2" borderId="1" xfId="0" quotePrefix="1" applyFont="1" applyFill="1" applyBorder="1" applyAlignment="1">
      <alignment horizontal="center" vertical="center" wrapText="1"/>
    </xf>
    <xf numFmtId="0" fontId="2" fillId="3" borderId="1" xfId="0" quotePrefix="1" applyFont="1" applyFill="1" applyBorder="1" applyAlignment="1">
      <alignment horizontal="center" vertical="center" wrapText="1"/>
    </xf>
    <xf numFmtId="0" fontId="11" fillId="0" borderId="0" xfId="0" applyFont="1"/>
    <xf numFmtId="0" fontId="3" fillId="0" borderId="0" xfId="0" applyFont="1"/>
    <xf numFmtId="0" fontId="2" fillId="3" borderId="1" xfId="0" quotePrefix="1" applyFont="1" applyFill="1" applyBorder="1" applyAlignment="1">
      <alignment vertical="center" wrapText="1"/>
    </xf>
    <xf numFmtId="164" fontId="0" fillId="0" borderId="0" xfId="0" applyNumberFormat="1"/>
    <xf numFmtId="2" fontId="0" fillId="0" borderId="0" xfId="0" applyNumberFormat="1"/>
    <xf numFmtId="10" fontId="0" fillId="0" borderId="0" xfId="0" applyNumberFormat="1"/>
    <xf numFmtId="10" fontId="3" fillId="0" borderId="0" xfId="0" applyNumberFormat="1" applyFont="1"/>
    <xf numFmtId="0" fontId="2" fillId="0" borderId="2" xfId="0" applyFont="1" applyBorder="1" applyAlignment="1">
      <alignment horizontal="center" vertical="center"/>
    </xf>
    <xf numFmtId="0" fontId="2" fillId="2" borderId="3" xfId="0" quotePrefix="1" applyFont="1" applyFill="1" applyBorder="1" applyAlignment="1">
      <alignment horizontal="center" vertical="center" wrapText="1"/>
    </xf>
    <xf numFmtId="0" fontId="2" fillId="4" borderId="5" xfId="0" quotePrefix="1" applyFont="1" applyFill="1" applyBorder="1" applyAlignment="1">
      <alignment horizontal="center" vertical="center" wrapText="1"/>
    </xf>
    <xf numFmtId="2" fontId="2" fillId="4" borderId="5" xfId="0" quotePrefix="1" applyNumberFormat="1" applyFont="1" applyFill="1" applyBorder="1" applyAlignment="1">
      <alignment horizontal="center" vertical="center" wrapText="1"/>
    </xf>
    <xf numFmtId="2" fontId="0" fillId="0" borderId="1" xfId="0" applyNumberFormat="1" applyBorder="1"/>
    <xf numFmtId="164" fontId="2" fillId="2" borderId="6" xfId="0" quotePrefix="1" applyNumberFormat="1" applyFont="1" applyFill="1" applyBorder="1" applyAlignment="1">
      <alignment horizontal="center" vertical="center" wrapText="1"/>
    </xf>
    <xf numFmtId="2" fontId="2" fillId="4" borderId="1" xfId="0" quotePrefix="1" applyNumberFormat="1" applyFont="1" applyFill="1" applyBorder="1" applyAlignment="1">
      <alignment horizontal="center" vertical="center" wrapText="1"/>
    </xf>
    <xf numFmtId="10" fontId="2" fillId="4" borderId="5" xfId="0" quotePrefix="1" applyNumberFormat="1" applyFont="1" applyFill="1" applyBorder="1" applyAlignment="1">
      <alignment horizontal="center" vertical="center" wrapText="1"/>
    </xf>
    <xf numFmtId="10" fontId="0" fillId="0" borderId="1" xfId="0" applyNumberFormat="1" applyBorder="1"/>
    <xf numFmtId="10" fontId="2" fillId="4" borderId="1" xfId="0" quotePrefix="1" applyNumberFormat="1" applyFont="1" applyFill="1" applyBorder="1" applyAlignment="1">
      <alignment horizontal="center" vertical="center" wrapText="1"/>
    </xf>
    <xf numFmtId="10" fontId="11" fillId="0" borderId="1" xfId="0" applyNumberFormat="1" applyFont="1" applyBorder="1"/>
    <xf numFmtId="10" fontId="3" fillId="0" borderId="1" xfId="0" applyNumberFormat="1" applyFont="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11" fillId="0" borderId="9" xfId="0" pivotButton="1" applyFont="1" applyBorder="1"/>
    <xf numFmtId="2" fontId="4" fillId="2" borderId="1" xfId="1" applyNumberFormat="1" applyFont="1" applyFill="1" applyBorder="1" applyAlignment="1">
      <alignment horizontal="center" vertical="center"/>
    </xf>
    <xf numFmtId="2" fontId="5" fillId="2" borderId="1" xfId="1" applyNumberFormat="1" applyFont="1" applyFill="1" applyBorder="1" applyAlignment="1">
      <alignment horizontal="center" vertical="center"/>
    </xf>
    <xf numFmtId="2" fontId="5" fillId="3" borderId="1" xfId="1" applyNumberFormat="1" applyFont="1" applyFill="1" applyBorder="1" applyAlignment="1">
      <alignment horizontal="center" vertical="center"/>
    </xf>
    <xf numFmtId="2" fontId="4" fillId="3" borderId="1" xfId="1" applyNumberFormat="1" applyFont="1" applyFill="1" applyBorder="1" applyAlignment="1">
      <alignment horizontal="center" vertical="center"/>
    </xf>
    <xf numFmtId="2" fontId="15" fillId="2" borderId="4" xfId="0" applyNumberFormat="1" applyFont="1" applyFill="1" applyBorder="1" applyAlignment="1">
      <alignment horizontal="center" vertical="center"/>
    </xf>
    <xf numFmtId="2" fontId="15" fillId="3" borderId="4" xfId="0" applyNumberFormat="1" applyFont="1" applyFill="1" applyBorder="1" applyAlignment="1">
      <alignment horizontal="center" vertical="center"/>
    </xf>
    <xf numFmtId="2" fontId="4" fillId="2" borderId="4" xfId="1" applyNumberFormat="1" applyFont="1" applyFill="1" applyBorder="1" applyAlignment="1">
      <alignment horizontal="center" vertical="center"/>
    </xf>
    <xf numFmtId="2" fontId="4" fillId="2" borderId="4" xfId="0" applyNumberFormat="1" applyFont="1" applyFill="1" applyBorder="1" applyAlignment="1">
      <alignment horizontal="center" vertical="center"/>
    </xf>
    <xf numFmtId="2" fontId="4" fillId="3" borderId="4" xfId="1" applyNumberFormat="1" applyFont="1" applyFill="1" applyBorder="1" applyAlignment="1">
      <alignment horizontal="center" vertical="center"/>
    </xf>
    <xf numFmtId="2" fontId="5" fillId="2" borderId="4" xfId="1" applyNumberFormat="1" applyFont="1" applyFill="1" applyBorder="1" applyAlignment="1">
      <alignment horizontal="center" vertical="center"/>
    </xf>
    <xf numFmtId="2" fontId="15" fillId="2" borderId="1" xfId="0" applyNumberFormat="1" applyFont="1" applyFill="1" applyBorder="1" applyAlignment="1">
      <alignment horizontal="center" vertical="center"/>
    </xf>
    <xf numFmtId="2" fontId="15" fillId="3" borderId="1" xfId="0" applyNumberFormat="1" applyFont="1" applyFill="1" applyBorder="1" applyAlignment="1">
      <alignment horizontal="center" vertical="center"/>
    </xf>
    <xf numFmtId="2" fontId="4" fillId="2" borderId="1" xfId="0" applyNumberFormat="1" applyFont="1" applyFill="1" applyBorder="1" applyAlignment="1">
      <alignment horizontal="center" vertical="center"/>
    </xf>
    <xf numFmtId="2" fontId="4" fillId="3" borderId="1" xfId="0" applyNumberFormat="1" applyFont="1" applyFill="1" applyBorder="1" applyAlignment="1">
      <alignment horizontal="center" vertical="center"/>
    </xf>
    <xf numFmtId="2" fontId="4" fillId="3" borderId="4" xfId="0" applyNumberFormat="1" applyFont="1" applyFill="1" applyBorder="1" applyAlignment="1">
      <alignment horizontal="center" vertical="center"/>
    </xf>
    <xf numFmtId="2" fontId="4" fillId="2" borderId="0" xfId="0" applyNumberFormat="1" applyFont="1" applyFill="1" applyAlignment="1">
      <alignment horizontal="center" vertical="center"/>
    </xf>
    <xf numFmtId="16" fontId="2" fillId="0" borderId="7" xfId="0" applyNumberFormat="1" applyFont="1" applyBorder="1" applyAlignment="1">
      <alignment horizontal="center" vertical="center"/>
    </xf>
    <xf numFmtId="2" fontId="4" fillId="2" borderId="3" xfId="1" applyNumberFormat="1" applyFont="1" applyFill="1" applyBorder="1" applyAlignment="1">
      <alignment horizontal="center" vertical="center"/>
    </xf>
    <xf numFmtId="0" fontId="11" fillId="5" borderId="1" xfId="0" applyFont="1" applyFill="1" applyBorder="1" applyAlignment="1">
      <alignment horizontal="center"/>
    </xf>
    <xf numFmtId="2" fontId="11" fillId="5" borderId="1" xfId="0" applyNumberFormat="1" applyFont="1" applyFill="1" applyBorder="1" applyAlignment="1">
      <alignment horizontal="center"/>
    </xf>
    <xf numFmtId="2" fontId="0" fillId="0" borderId="9" xfId="0" applyNumberFormat="1" applyBorder="1"/>
    <xf numFmtId="2" fontId="0" fillId="0" borderId="14" xfId="0" applyNumberFormat="1" applyBorder="1"/>
    <xf numFmtId="2" fontId="0" fillId="0" borderId="15" xfId="0" applyNumberFormat="1" applyBorder="1"/>
    <xf numFmtId="2" fontId="0" fillId="0" borderId="13" xfId="0" applyNumberFormat="1" applyBorder="1"/>
    <xf numFmtId="2" fontId="0" fillId="0" borderId="16" xfId="0" applyNumberFormat="1" applyBorder="1"/>
    <xf numFmtId="2" fontId="0" fillId="0" borderId="12" xfId="0" applyNumberFormat="1" applyBorder="1"/>
    <xf numFmtId="2" fontId="0" fillId="0" borderId="17" xfId="0" applyNumberFormat="1" applyBorder="1"/>
    <xf numFmtId="2" fontId="0" fillId="0" borderId="18" xfId="0" applyNumberFormat="1" applyBorder="1"/>
    <xf numFmtId="0" fontId="0" fillId="0" borderId="18" xfId="0" applyBorder="1"/>
    <xf numFmtId="0" fontId="0" fillId="5" borderId="9" xfId="0" applyFill="1" applyBorder="1"/>
    <xf numFmtId="0" fontId="0" fillId="5" borderId="14" xfId="0" applyFill="1" applyBorder="1"/>
    <xf numFmtId="0" fontId="0" fillId="5" borderId="15" xfId="0" applyFill="1" applyBorder="1"/>
    <xf numFmtId="0" fontId="0" fillId="5" borderId="18" xfId="0" applyFill="1" applyBorder="1"/>
    <xf numFmtId="0" fontId="11" fillId="0" borderId="10" xfId="0" applyFont="1" applyBorder="1"/>
    <xf numFmtId="0" fontId="0" fillId="0" borderId="19" xfId="0" applyBorder="1"/>
    <xf numFmtId="0" fontId="0" fillId="0" borderId="20" xfId="0" applyBorder="1"/>
    <xf numFmtId="0" fontId="3" fillId="0" borderId="3" xfId="0" applyFont="1" applyBorder="1"/>
    <xf numFmtId="2" fontId="0" fillId="0" borderId="6" xfId="0" applyNumberFormat="1" applyBorder="1"/>
    <xf numFmtId="0" fontId="13" fillId="0" borderId="0" xfId="0" applyFont="1"/>
    <xf numFmtId="0" fontId="9" fillId="0" borderId="0" xfId="0" applyFont="1" applyAlignment="1">
      <alignment vertical="center" wrapText="1"/>
    </xf>
    <xf numFmtId="0" fontId="6" fillId="0" borderId="0" xfId="0" applyFont="1" applyAlignment="1">
      <alignment horizontal="center"/>
    </xf>
    <xf numFmtId="0" fontId="7" fillId="0" borderId="0" xfId="0" applyFont="1" applyAlignment="1">
      <alignment horizontal="center"/>
    </xf>
    <xf numFmtId="0" fontId="4" fillId="0" borderId="0" xfId="0" applyFont="1" applyAlignment="1">
      <alignment horizontal="center"/>
    </xf>
    <xf numFmtId="0" fontId="2" fillId="2" borderId="8" xfId="0" quotePrefix="1" applyFont="1" applyFill="1" applyBorder="1" applyAlignment="1">
      <alignment horizontal="center" vertical="center" wrapText="1"/>
    </xf>
    <xf numFmtId="0" fontId="2" fillId="2" borderId="2" xfId="0" quotePrefix="1" applyFont="1" applyFill="1" applyBorder="1" applyAlignment="1">
      <alignment horizontal="center" vertical="center" wrapText="1"/>
    </xf>
    <xf numFmtId="0" fontId="2" fillId="3" borderId="8" xfId="0" quotePrefix="1" applyFont="1" applyFill="1" applyBorder="1" applyAlignment="1">
      <alignment horizontal="center" vertical="center" wrapText="1"/>
    </xf>
    <xf numFmtId="0" fontId="2" fillId="3" borderId="2" xfId="0" quotePrefix="1" applyFont="1" applyFill="1" applyBorder="1" applyAlignment="1">
      <alignment horizontal="center" vertical="center" wrapText="1"/>
    </xf>
    <xf numFmtId="0" fontId="3" fillId="0" borderId="0" xfId="0" applyFont="1" applyAlignment="1">
      <alignment horizontal="center" wrapText="1"/>
    </xf>
    <xf numFmtId="0" fontId="0" fillId="0" borderId="0" xfId="0" applyAlignment="1">
      <alignment horizontal="center" wrapText="1"/>
    </xf>
    <xf numFmtId="0" fontId="0" fillId="0" borderId="0" xfId="0" applyAlignment="1">
      <alignment wrapText="1"/>
    </xf>
    <xf numFmtId="0" fontId="1" fillId="0" borderId="0" xfId="0" applyFont="1"/>
    <xf numFmtId="0" fontId="2" fillId="0" borderId="0" xfId="0" applyFont="1" applyBorder="1" applyAlignment="1">
      <alignment horizontal="center" vertical="center"/>
    </xf>
    <xf numFmtId="0" fontId="2" fillId="0" borderId="0" xfId="0" applyFont="1" applyBorder="1" applyAlignment="1">
      <alignment vertical="center"/>
    </xf>
    <xf numFmtId="0" fontId="2" fillId="0" borderId="0" xfId="0" applyFont="1" applyBorder="1" applyAlignment="1">
      <alignment horizontal="left" vertical="center"/>
    </xf>
  </cellXfs>
  <cellStyles count="2">
    <cellStyle name="Currency" xfId="1" builtinId="4"/>
    <cellStyle name="Normal" xfId="0" builtinId="0"/>
  </cellStyles>
  <dxfs count="71">
    <dxf>
      <numFmt numFmtId="166" formatCode="&quot;$&quot;#,##0.0_);[Red]\(&quot;$&quot;#,##0.0\)"/>
    </dxf>
    <dxf>
      <numFmt numFmtId="166" formatCode="&quot;$&quot;#,##0.0_);[Red]\(&quot;$&quot;#,##0.0\)"/>
    </dxf>
    <dxf>
      <numFmt numFmtId="166" formatCode="&quot;$&quot;#,##0.0_);[Red]\(&quot;$&quot;#,##0.0\)"/>
    </dxf>
    <dxf>
      <alignment horizontal="general" vertical="bottom" textRotation="0" wrapText="1" indent="0" justifyLastLine="0" shrinkToFit="0" readingOrder="0"/>
    </dxf>
    <dxf>
      <numFmt numFmtId="165" formatCode="&quot;$&quot;#,##0.0"/>
    </dxf>
    <dxf>
      <numFmt numFmtId="165" formatCode="&quot;$&quot;#,##0.0"/>
    </dxf>
    <dxf>
      <numFmt numFmtId="165" formatCode="&quot;$&quot;#,##0.0"/>
    </dxf>
    <dxf>
      <alignment horizontal="general" vertical="bottom" textRotation="0" wrapText="1" indent="0" justifyLastLine="0" shrinkToFit="0" readingOrder="0"/>
    </dxf>
    <dxf>
      <numFmt numFmtId="166" formatCode="&quot;$&quot;#,##0.0_);[Red]\(&quot;$&quot;#,##0.0\)"/>
    </dxf>
    <dxf>
      <numFmt numFmtId="166" formatCode="&quot;$&quot;#,##0.0_);[Red]\(&quot;$&quot;#,##0.0\)"/>
    </dxf>
    <dxf>
      <numFmt numFmtId="166" formatCode="&quot;$&quot;#,##0.0_);[Red]\(&quot;$&quot;#,##0.0\)"/>
    </dxf>
    <dxf>
      <alignment horizontal="general" vertical="bottom" textRotation="0" wrapText="1" indent="0" justifyLastLine="0" shrinkToFit="0" readingOrder="0"/>
    </dxf>
    <dxf>
      <font>
        <color rgb="FF006100"/>
      </font>
      <fill>
        <patternFill>
          <bgColor rgb="FFC6EFCE"/>
        </patternFill>
      </fill>
    </dxf>
    <dxf>
      <numFmt numFmtId="165" formatCode="&quot;$&quot;#,##0.0"/>
    </dxf>
    <dxf>
      <numFmt numFmtId="165" formatCode="&quot;$&quot;#,##0.0"/>
    </dxf>
    <dxf>
      <numFmt numFmtId="165" formatCode="&quot;$&quot;#,##0.0"/>
    </dxf>
    <dxf>
      <alignment horizontal="general" vertical="bottom" textRotation="0" wrapText="1" indent="0" justifyLastLine="0" shrinkToFit="0" readingOrder="0"/>
    </dxf>
    <dxf>
      <numFmt numFmtId="166" formatCode="&quot;$&quot;#,##0.0_);[Red]\(&quot;$&quot;#,##0.0\)"/>
    </dxf>
    <dxf>
      <numFmt numFmtId="166" formatCode="&quot;$&quot;#,##0.0_);[Red]\(&quot;$&quot;#,##0.0\)"/>
    </dxf>
    <dxf>
      <numFmt numFmtId="166" formatCode="&quot;$&quot;#,##0.0_);[Red]\(&quot;$&quot;#,##0.0\)"/>
    </dxf>
    <dxf>
      <alignment horizontal="general" vertical="bottom" textRotation="0" wrapText="1" indent="0" justifyLastLine="0" shrinkToFit="0" readingOrder="0"/>
    </dxf>
    <dxf>
      <numFmt numFmtId="165" formatCode="&quot;$&quot;#,##0.0"/>
    </dxf>
    <dxf>
      <numFmt numFmtId="165" formatCode="&quot;$&quot;#,##0.0"/>
    </dxf>
    <dxf>
      <numFmt numFmtId="165" formatCode="&quot;$&quot;#,##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6" formatCode="&quot;$&quot;#,##0.0_);[Red]\(&quot;$&quot;#,##0.0\)"/>
    </dxf>
    <dxf>
      <numFmt numFmtId="166" formatCode="&quot;$&quot;#,##0.0_);[Red]\(&quot;$&quot;#,##0.0\)"/>
    </dxf>
    <dxf>
      <numFmt numFmtId="166" formatCode="&quot;$&quot;#,##0.0_);[Red]\(&quot;$&quot;#,##0.0\)"/>
    </dxf>
    <dxf>
      <fill>
        <patternFill patternType="solid">
          <bgColor theme="2"/>
        </patternFill>
      </fill>
    </dxf>
    <dxf>
      <fill>
        <patternFill patternType="solid">
          <bgColor theme="2"/>
        </patternFill>
      </fill>
    </dxf>
    <dxf>
      <font>
        <color auto="1"/>
      </font>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ont>
        <b/>
      </font>
    </dxf>
    <dxf>
      <numFmt numFmtId="2" formatCode="0.00"/>
    </dxf>
    <dxf>
      <font>
        <b val="0"/>
        <i val="0"/>
        <strike val="0"/>
        <condense val="0"/>
        <extend val="0"/>
        <outline val="0"/>
        <shadow val="0"/>
        <u val="none"/>
        <vertAlign val="baseline"/>
        <sz val="12"/>
        <color theme="1"/>
        <name val="Times New Roman"/>
        <family val="1"/>
        <scheme val="none"/>
      </font>
      <numFmt numFmtId="2" formatCode="0.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2"/>
        <color auto="1"/>
        <name val="Times New Roman"/>
        <family val="1"/>
        <scheme val="none"/>
      </font>
      <numFmt numFmtId="0" formatCode="General"/>
      <fill>
        <patternFill patternType="solid">
          <fgColor indexed="64"/>
          <bgColor theme="7"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Times New Roman"/>
        <family val="1"/>
        <scheme val="none"/>
      </font>
      <numFmt numFmtId="21" formatCode="d\-mmm"/>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2"/>
        <color auto="1"/>
        <name val="Times New Roman"/>
        <family val="1"/>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0"/>
        <color auto="1"/>
        <name val="Arial"/>
        <family val="2"/>
        <scheme val="none"/>
      </font>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numFmt numFmtId="164" formatCode="0.0"/>
    </dxf>
    <dxf>
      <font>
        <b val="0"/>
        <i val="0"/>
        <strike val="0"/>
        <condense val="0"/>
        <extend val="0"/>
        <outline val="0"/>
        <shadow val="0"/>
        <u val="none"/>
        <vertAlign val="baseline"/>
        <sz val="12"/>
        <color theme="1"/>
        <name val="Times New Roman"/>
        <family val="1"/>
        <scheme val="none"/>
      </font>
      <numFmt numFmtId="167"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indexed="8"/>
        <name val="Times New Roman"/>
        <family val="1"/>
        <scheme val="none"/>
      </font>
      <numFmt numFmtId="164"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numFmt numFmtId="167"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indexed="8"/>
        <name val="Times New Roman"/>
        <family val="1"/>
        <scheme val="none"/>
      </font>
      <numFmt numFmtId="164"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numFmt numFmtId="167"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indexed="8"/>
        <name val="Times New Roman"/>
        <family val="1"/>
        <scheme val="none"/>
      </font>
      <numFmt numFmtId="164"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numFmt numFmtId="167"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Times New Roman"/>
        <family val="1"/>
        <scheme val="none"/>
      </font>
      <numFmt numFmtId="21" formatCode="d\-mmm"/>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Times New Roman"/>
        <family val="1"/>
        <scheme val="none"/>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outline="0">
        <left style="thin">
          <color indexed="64"/>
        </left>
        <top style="thin">
          <color indexed="64"/>
        </top>
      </border>
    </dxf>
    <dxf>
      <border outline="0">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5.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6.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Changes</a:t>
            </a:r>
            <a:r>
              <a:rPr lang="en-US" baseline="0"/>
              <a:t> in numer of recipients for each loan type</a:t>
            </a:r>
            <a:endParaRPr lang="en-US"/>
          </a:p>
        </c:rich>
      </c:tx>
      <c:overlay val="0"/>
      <c:spPr>
        <a:noFill/>
        <a:ln w="25400">
          <a:noFill/>
        </a:ln>
      </c:spPr>
    </c:title>
    <c:autoTitleDeleted val="0"/>
    <c:plotArea>
      <c:layout/>
      <c:lineChart>
        <c:grouping val="standard"/>
        <c:varyColors val="0"/>
        <c:ser>
          <c:idx val="0"/>
          <c:order val="0"/>
          <c:tx>
            <c:strRef>
              <c:f>'Time Series Analysis'!$D$5</c:f>
              <c:strCache>
                <c:ptCount val="1"/>
                <c:pt idx="0">
                  <c:v>Stafford Subsidized - Recipients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'Time Series Analysis'!$B$5:$C$45</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Analysis'!$D$6:$D$45</c:f>
              <c:numCache>
                <c:formatCode>0.0</c:formatCode>
                <c:ptCount val="40"/>
                <c:pt idx="0">
                  <c:v>28.9</c:v>
                </c:pt>
                <c:pt idx="1">
                  <c:v>28.8</c:v>
                </c:pt>
                <c:pt idx="2">
                  <c:v>28.5</c:v>
                </c:pt>
                <c:pt idx="3">
                  <c:v>29.1</c:v>
                </c:pt>
                <c:pt idx="4">
                  <c:v>29.3</c:v>
                </c:pt>
                <c:pt idx="5">
                  <c:v>29.2</c:v>
                </c:pt>
                <c:pt idx="6">
                  <c:v>28.9</c:v>
                </c:pt>
                <c:pt idx="7">
                  <c:v>29.5</c:v>
                </c:pt>
                <c:pt idx="8">
                  <c:v>29.6</c:v>
                </c:pt>
                <c:pt idx="9">
                  <c:v>29.4</c:v>
                </c:pt>
                <c:pt idx="10">
                  <c:v>29</c:v>
                </c:pt>
                <c:pt idx="11">
                  <c:v>29.5</c:v>
                </c:pt>
                <c:pt idx="12">
                  <c:v>29.6</c:v>
                </c:pt>
                <c:pt idx="13">
                  <c:v>29.5</c:v>
                </c:pt>
                <c:pt idx="14">
                  <c:v>29.1</c:v>
                </c:pt>
                <c:pt idx="15">
                  <c:v>29.6</c:v>
                </c:pt>
                <c:pt idx="16">
                  <c:v>29.7</c:v>
                </c:pt>
                <c:pt idx="17">
                  <c:v>29.5</c:v>
                </c:pt>
                <c:pt idx="18">
                  <c:v>29.1</c:v>
                </c:pt>
                <c:pt idx="19">
                  <c:v>29.5</c:v>
                </c:pt>
                <c:pt idx="20">
                  <c:v>29.6</c:v>
                </c:pt>
                <c:pt idx="21">
                  <c:v>29.4</c:v>
                </c:pt>
                <c:pt idx="22" formatCode="#,##0.0">
                  <c:v>29.1</c:v>
                </c:pt>
                <c:pt idx="23" formatCode="#,##0.0">
                  <c:v>29.6</c:v>
                </c:pt>
                <c:pt idx="24" formatCode="#,##0.0">
                  <c:v>29.6</c:v>
                </c:pt>
                <c:pt idx="25">
                  <c:v>29.6</c:v>
                </c:pt>
                <c:pt idx="26">
                  <c:v>29.5</c:v>
                </c:pt>
                <c:pt idx="27" formatCode="#,##0.0">
                  <c:v>30</c:v>
                </c:pt>
                <c:pt idx="28" formatCode="#,##0.0">
                  <c:v>30.1</c:v>
                </c:pt>
                <c:pt idx="29" formatCode="#,##0.0">
                  <c:v>29.8</c:v>
                </c:pt>
                <c:pt idx="30" formatCode="#,##0.0">
                  <c:v>29.7</c:v>
                </c:pt>
                <c:pt idx="31" formatCode="#,##0.0">
                  <c:v>30.2</c:v>
                </c:pt>
                <c:pt idx="32" formatCode="#,##0.0">
                  <c:v>30.4</c:v>
                </c:pt>
                <c:pt idx="33" formatCode="#,##0.0">
                  <c:v>30.3</c:v>
                </c:pt>
                <c:pt idx="34" formatCode="#,##0.0">
                  <c:v>30.3</c:v>
                </c:pt>
                <c:pt idx="35" formatCode="#,##0.0">
                  <c:v>30.6</c:v>
                </c:pt>
                <c:pt idx="36" formatCode="#,##0.0">
                  <c:v>30.5</c:v>
                </c:pt>
                <c:pt idx="37" formatCode="#,##0.0">
                  <c:v>30.2</c:v>
                </c:pt>
                <c:pt idx="38" formatCode="#,##0.0">
                  <c:v>29.8</c:v>
                </c:pt>
                <c:pt idx="39" formatCode="#,##0.0">
                  <c:v>30.2</c:v>
                </c:pt>
              </c:numCache>
            </c:numRef>
          </c:val>
          <c:smooth val="0"/>
          <c:extLst>
            <c:ext xmlns:c16="http://schemas.microsoft.com/office/drawing/2014/chart" uri="{C3380CC4-5D6E-409C-BE32-E72D297353CC}">
              <c16:uniqueId val="{00000000-3D2D-4729-8267-39BC6E02641B}"/>
            </c:ext>
          </c:extLst>
        </c:ser>
        <c:ser>
          <c:idx val="1"/>
          <c:order val="1"/>
          <c:tx>
            <c:strRef>
              <c:f>'Time Series Analysis'!$G$5</c:f>
              <c:strCache>
                <c:ptCount val="1"/>
                <c:pt idx="0">
                  <c:v>Stafford Unsubsidized - Recipients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'Time Series Analysis'!$B$5:$C$45</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Analysis'!$G$6:$G$45</c:f>
              <c:numCache>
                <c:formatCode>0.0</c:formatCode>
                <c:ptCount val="40"/>
                <c:pt idx="0">
                  <c:v>26.6</c:v>
                </c:pt>
                <c:pt idx="1">
                  <c:v>26.5</c:v>
                </c:pt>
                <c:pt idx="2">
                  <c:v>26.4</c:v>
                </c:pt>
                <c:pt idx="3">
                  <c:v>27.1</c:v>
                </c:pt>
                <c:pt idx="4">
                  <c:v>27.3</c:v>
                </c:pt>
                <c:pt idx="5">
                  <c:v>27.3</c:v>
                </c:pt>
                <c:pt idx="6">
                  <c:v>27.1</c:v>
                </c:pt>
                <c:pt idx="7">
                  <c:v>27.8</c:v>
                </c:pt>
                <c:pt idx="8">
                  <c:v>28</c:v>
                </c:pt>
                <c:pt idx="9">
                  <c:v>27.9</c:v>
                </c:pt>
                <c:pt idx="10">
                  <c:v>27.6</c:v>
                </c:pt>
                <c:pt idx="11">
                  <c:v>28.3</c:v>
                </c:pt>
                <c:pt idx="12">
                  <c:v>28.4</c:v>
                </c:pt>
                <c:pt idx="13">
                  <c:v>28.3</c:v>
                </c:pt>
                <c:pt idx="14">
                  <c:v>28</c:v>
                </c:pt>
                <c:pt idx="15">
                  <c:v>28.7</c:v>
                </c:pt>
                <c:pt idx="16">
                  <c:v>28.8</c:v>
                </c:pt>
                <c:pt idx="17">
                  <c:v>28.7</c:v>
                </c:pt>
                <c:pt idx="18">
                  <c:v>28.3</c:v>
                </c:pt>
                <c:pt idx="19">
                  <c:v>28.9</c:v>
                </c:pt>
                <c:pt idx="20">
                  <c:v>28.9</c:v>
                </c:pt>
                <c:pt idx="21">
                  <c:v>28.8</c:v>
                </c:pt>
                <c:pt idx="22">
                  <c:v>28.6</c:v>
                </c:pt>
                <c:pt idx="23">
                  <c:v>29.2</c:v>
                </c:pt>
                <c:pt idx="24">
                  <c:v>29.3</c:v>
                </c:pt>
                <c:pt idx="25">
                  <c:v>29.4</c:v>
                </c:pt>
                <c:pt idx="26">
                  <c:v>29.3</c:v>
                </c:pt>
                <c:pt idx="27">
                  <c:v>30</c:v>
                </c:pt>
                <c:pt idx="28">
                  <c:v>30.1</c:v>
                </c:pt>
                <c:pt idx="29">
                  <c:v>29.9</c:v>
                </c:pt>
                <c:pt idx="30">
                  <c:v>29.8</c:v>
                </c:pt>
                <c:pt idx="31">
                  <c:v>30.5</c:v>
                </c:pt>
                <c:pt idx="32">
                  <c:v>30.7</c:v>
                </c:pt>
                <c:pt idx="33">
                  <c:v>30.7</c:v>
                </c:pt>
                <c:pt idx="34">
                  <c:v>30.7</c:v>
                </c:pt>
                <c:pt idx="35">
                  <c:v>31.1</c:v>
                </c:pt>
                <c:pt idx="36">
                  <c:v>31</c:v>
                </c:pt>
                <c:pt idx="37">
                  <c:v>30.7</c:v>
                </c:pt>
                <c:pt idx="38">
                  <c:v>30.4</c:v>
                </c:pt>
                <c:pt idx="39">
                  <c:v>30.9</c:v>
                </c:pt>
              </c:numCache>
            </c:numRef>
          </c:val>
          <c:smooth val="0"/>
          <c:extLst>
            <c:ext xmlns:c16="http://schemas.microsoft.com/office/drawing/2014/chart" uri="{C3380CC4-5D6E-409C-BE32-E72D297353CC}">
              <c16:uniqueId val="{00000001-3D2D-4729-8267-39BC6E02641B}"/>
            </c:ext>
          </c:extLst>
        </c:ser>
        <c:ser>
          <c:idx val="2"/>
          <c:order val="2"/>
          <c:tx>
            <c:strRef>
              <c:f>'Time Series Analysis'!$J$5</c:f>
              <c:strCache>
                <c:ptCount val="1"/>
                <c:pt idx="0">
                  <c:v>Stafford (Combined)  - Recipients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'Time Series Analysis'!$B$5:$C$45</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Analysis'!$J$6:$J$45</c:f>
              <c:numCache>
                <c:formatCode>General</c:formatCode>
                <c:ptCount val="40"/>
                <c:pt idx="0">
                  <c:v>31.7</c:v>
                </c:pt>
                <c:pt idx="1">
                  <c:v>31.5</c:v>
                </c:pt>
                <c:pt idx="2">
                  <c:v>31.3</c:v>
                </c:pt>
                <c:pt idx="3">
                  <c:v>32.1</c:v>
                </c:pt>
                <c:pt idx="4">
                  <c:v>32.200000000000003</c:v>
                </c:pt>
                <c:pt idx="5">
                  <c:v>32.1</c:v>
                </c:pt>
                <c:pt idx="6">
                  <c:v>31.9</c:v>
                </c:pt>
                <c:pt idx="7">
                  <c:v>32.6</c:v>
                </c:pt>
                <c:pt idx="8">
                  <c:v>32.799999999999997</c:v>
                </c:pt>
                <c:pt idx="9">
                  <c:v>32.6</c:v>
                </c:pt>
                <c:pt idx="10">
                  <c:v>32.200000000000003</c:v>
                </c:pt>
                <c:pt idx="11">
                  <c:v>32.9</c:v>
                </c:pt>
                <c:pt idx="12" formatCode="0.0">
                  <c:v>33</c:v>
                </c:pt>
                <c:pt idx="13" formatCode="0.0">
                  <c:v>32.9</c:v>
                </c:pt>
                <c:pt idx="14" formatCode="0.0">
                  <c:v>32.5</c:v>
                </c:pt>
                <c:pt idx="15" formatCode="0.0">
                  <c:v>33.1</c:v>
                </c:pt>
                <c:pt idx="16" formatCode="0.0">
                  <c:v>33.299999999999997</c:v>
                </c:pt>
                <c:pt idx="17" formatCode="0.0">
                  <c:v>33.1</c:v>
                </c:pt>
                <c:pt idx="18" formatCode="0.0">
                  <c:v>32.6</c:v>
                </c:pt>
                <c:pt idx="19" formatCode="0.0">
                  <c:v>33.200000000000003</c:v>
                </c:pt>
                <c:pt idx="20" formatCode="0.0">
                  <c:v>33.200000000000003</c:v>
                </c:pt>
                <c:pt idx="21" formatCode="0.0">
                  <c:v>33</c:v>
                </c:pt>
                <c:pt idx="22" formatCode="#,##0.0">
                  <c:v>32.799999999999997</c:v>
                </c:pt>
                <c:pt idx="23" formatCode="#,##0.0">
                  <c:v>33.4</c:v>
                </c:pt>
                <c:pt idx="24" formatCode="#,##0.0">
                  <c:v>33.5</c:v>
                </c:pt>
                <c:pt idx="25" formatCode="0.0">
                  <c:v>33.6</c:v>
                </c:pt>
                <c:pt idx="26" formatCode="#,##0.0">
                  <c:v>33.5</c:v>
                </c:pt>
                <c:pt idx="27" formatCode="#,##0.0">
                  <c:v>34.200000000000003</c:v>
                </c:pt>
                <c:pt idx="28" formatCode="#,##0.0">
                  <c:v>34.299999999999997</c:v>
                </c:pt>
                <c:pt idx="29" formatCode="#,##0.0">
                  <c:v>34</c:v>
                </c:pt>
                <c:pt idx="30" formatCode="#,##0.0">
                  <c:v>33.9</c:v>
                </c:pt>
                <c:pt idx="31" formatCode="#,##0.0">
                  <c:v>34.6</c:v>
                </c:pt>
                <c:pt idx="32" formatCode="#,##0.0">
                  <c:v>34.799999999999997</c:v>
                </c:pt>
                <c:pt idx="33" formatCode="#,##0.0">
                  <c:v>34.9</c:v>
                </c:pt>
                <c:pt idx="34" formatCode="#,##0.0">
                  <c:v>34.799999999999997</c:v>
                </c:pt>
                <c:pt idx="35" formatCode="#,##0.0">
                  <c:v>35.200000000000003</c:v>
                </c:pt>
                <c:pt idx="36" formatCode="#,##0.0">
                  <c:v>35.1</c:v>
                </c:pt>
                <c:pt idx="37" formatCode="#,##0.0">
                  <c:v>34.799999999999997</c:v>
                </c:pt>
                <c:pt idx="38" formatCode="#,##0.0">
                  <c:v>34.4</c:v>
                </c:pt>
                <c:pt idx="39" formatCode="#,##0.0">
                  <c:v>34.9</c:v>
                </c:pt>
              </c:numCache>
            </c:numRef>
          </c:val>
          <c:smooth val="0"/>
          <c:extLst>
            <c:ext xmlns:c16="http://schemas.microsoft.com/office/drawing/2014/chart" uri="{C3380CC4-5D6E-409C-BE32-E72D297353CC}">
              <c16:uniqueId val="{00000002-3D2D-4729-8267-39BC6E02641B}"/>
            </c:ext>
          </c:extLst>
        </c:ser>
        <c:ser>
          <c:idx val="3"/>
          <c:order val="3"/>
          <c:tx>
            <c:strRef>
              <c:f>'Time Series Analysis'!$M$5</c:f>
              <c:strCache>
                <c:ptCount val="1"/>
                <c:pt idx="0">
                  <c:v>Grad PLUS  - Recipients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'Time Series Analysis'!$B$5:$C$45</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Analysis'!$M$6:$M$45</c:f>
              <c:numCache>
                <c:formatCode>0.0</c:formatCode>
                <c:ptCount val="40"/>
                <c:pt idx="0">
                  <c:v>1</c:v>
                </c:pt>
                <c:pt idx="1">
                  <c:v>1</c:v>
                </c:pt>
                <c:pt idx="2">
                  <c:v>1</c:v>
                </c:pt>
                <c:pt idx="3">
                  <c:v>1</c:v>
                </c:pt>
                <c:pt idx="4">
                  <c:v>1</c:v>
                </c:pt>
                <c:pt idx="5">
                  <c:v>1</c:v>
                </c:pt>
                <c:pt idx="6">
                  <c:v>1</c:v>
                </c:pt>
                <c:pt idx="7">
                  <c:v>1.1000000000000001</c:v>
                </c:pt>
                <c:pt idx="8">
                  <c:v>1.1000000000000001</c:v>
                </c:pt>
                <c:pt idx="9">
                  <c:v>1.1000000000000001</c:v>
                </c:pt>
                <c:pt idx="10">
                  <c:v>1.1000000000000001</c:v>
                </c:pt>
                <c:pt idx="11">
                  <c:v>1.2</c:v>
                </c:pt>
                <c:pt idx="12">
                  <c:v>1.2</c:v>
                </c:pt>
                <c:pt idx="13">
                  <c:v>1.2</c:v>
                </c:pt>
                <c:pt idx="14">
                  <c:v>1.2</c:v>
                </c:pt>
                <c:pt idx="15">
                  <c:v>1.3</c:v>
                </c:pt>
                <c:pt idx="16">
                  <c:v>1.5</c:v>
                </c:pt>
                <c:pt idx="17">
                  <c:v>1.3</c:v>
                </c:pt>
                <c:pt idx="18">
                  <c:v>1.3</c:v>
                </c:pt>
                <c:pt idx="19">
                  <c:v>1.4</c:v>
                </c:pt>
                <c:pt idx="20">
                  <c:v>1.4</c:v>
                </c:pt>
                <c:pt idx="21">
                  <c:v>1.4</c:v>
                </c:pt>
                <c:pt idx="22">
                  <c:v>1.4</c:v>
                </c:pt>
                <c:pt idx="23">
                  <c:v>1.5</c:v>
                </c:pt>
                <c:pt idx="24">
                  <c:v>1.5</c:v>
                </c:pt>
                <c:pt idx="25">
                  <c:v>1.5</c:v>
                </c:pt>
                <c:pt idx="26">
                  <c:v>1.5</c:v>
                </c:pt>
                <c:pt idx="27">
                  <c:v>1.6</c:v>
                </c:pt>
                <c:pt idx="28">
                  <c:v>1.6</c:v>
                </c:pt>
                <c:pt idx="29">
                  <c:v>1.6</c:v>
                </c:pt>
                <c:pt idx="30">
                  <c:v>1.6</c:v>
                </c:pt>
                <c:pt idx="31">
                  <c:v>1.7</c:v>
                </c:pt>
                <c:pt idx="32">
                  <c:v>1.7</c:v>
                </c:pt>
                <c:pt idx="33">
                  <c:v>1.7</c:v>
                </c:pt>
                <c:pt idx="34">
                  <c:v>1.7</c:v>
                </c:pt>
                <c:pt idx="35">
                  <c:v>1.8</c:v>
                </c:pt>
                <c:pt idx="36">
                  <c:v>1.8</c:v>
                </c:pt>
                <c:pt idx="37">
                  <c:v>1.8</c:v>
                </c:pt>
                <c:pt idx="38">
                  <c:v>1.7</c:v>
                </c:pt>
                <c:pt idx="39">
                  <c:v>1.8</c:v>
                </c:pt>
              </c:numCache>
            </c:numRef>
          </c:val>
          <c:smooth val="0"/>
          <c:extLst>
            <c:ext xmlns:c16="http://schemas.microsoft.com/office/drawing/2014/chart" uri="{C3380CC4-5D6E-409C-BE32-E72D297353CC}">
              <c16:uniqueId val="{00000003-3D2D-4729-8267-39BC6E02641B}"/>
            </c:ext>
          </c:extLst>
        </c:ser>
        <c:ser>
          <c:idx val="4"/>
          <c:order val="4"/>
          <c:tx>
            <c:strRef>
              <c:f>'Time Series Analysis'!$P$5</c:f>
              <c:strCache>
                <c:ptCount val="1"/>
                <c:pt idx="0">
                  <c:v>Parent PLUS  - Recipients</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'Time Series Analysis'!$B$5:$C$45</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Analysis'!$P$6:$P$45</c:f>
              <c:numCache>
                <c:formatCode>General</c:formatCode>
                <c:ptCount val="40"/>
                <c:pt idx="0">
                  <c:v>3.2</c:v>
                </c:pt>
                <c:pt idx="1">
                  <c:v>3.2</c:v>
                </c:pt>
                <c:pt idx="2">
                  <c:v>3.1</c:v>
                </c:pt>
                <c:pt idx="3">
                  <c:v>3.3</c:v>
                </c:pt>
                <c:pt idx="4">
                  <c:v>3.4</c:v>
                </c:pt>
                <c:pt idx="5">
                  <c:v>3.3</c:v>
                </c:pt>
                <c:pt idx="6">
                  <c:v>3.3</c:v>
                </c:pt>
                <c:pt idx="7">
                  <c:v>3.5</c:v>
                </c:pt>
                <c:pt idx="8">
                  <c:v>3.5</c:v>
                </c:pt>
                <c:pt idx="9">
                  <c:v>3.4</c:v>
                </c:pt>
                <c:pt idx="10">
                  <c:v>3.4</c:v>
                </c:pt>
                <c:pt idx="11">
                  <c:v>3.5</c:v>
                </c:pt>
                <c:pt idx="12">
                  <c:v>3.5</c:v>
                </c:pt>
                <c:pt idx="13">
                  <c:v>3.5</c:v>
                </c:pt>
                <c:pt idx="14">
                  <c:v>3.4</c:v>
                </c:pt>
                <c:pt idx="15">
                  <c:v>3.6</c:v>
                </c:pt>
                <c:pt idx="16">
                  <c:v>3.6</c:v>
                </c:pt>
                <c:pt idx="17">
                  <c:v>3.5</c:v>
                </c:pt>
                <c:pt idx="18">
                  <c:v>3.5</c:v>
                </c:pt>
                <c:pt idx="19">
                  <c:v>3.6</c:v>
                </c:pt>
                <c:pt idx="20">
                  <c:v>3.6</c:v>
                </c:pt>
                <c:pt idx="21">
                  <c:v>3.5</c:v>
                </c:pt>
                <c:pt idx="22" formatCode="#,##0.0">
                  <c:v>3.5</c:v>
                </c:pt>
                <c:pt idx="23" formatCode="#,##0.0">
                  <c:v>3.6</c:v>
                </c:pt>
                <c:pt idx="24" formatCode="#,##0.0">
                  <c:v>3.6</c:v>
                </c:pt>
                <c:pt idx="25" formatCode="0.0">
                  <c:v>3.6</c:v>
                </c:pt>
                <c:pt idx="26" formatCode="#,##0.0">
                  <c:v>3.6</c:v>
                </c:pt>
                <c:pt idx="27" formatCode="#,##0.0">
                  <c:v>3.7</c:v>
                </c:pt>
                <c:pt idx="28" formatCode="#,##0.0">
                  <c:v>3.7</c:v>
                </c:pt>
                <c:pt idx="29" formatCode="#,##0.0">
                  <c:v>3.6</c:v>
                </c:pt>
                <c:pt idx="30" formatCode="#,##0.0">
                  <c:v>3.6</c:v>
                </c:pt>
                <c:pt idx="31" formatCode="#,##0.0">
                  <c:v>3.7</c:v>
                </c:pt>
                <c:pt idx="32" formatCode="#,##0.0">
                  <c:v>3.7</c:v>
                </c:pt>
                <c:pt idx="33" formatCode="#,##0.0">
                  <c:v>3.7</c:v>
                </c:pt>
                <c:pt idx="34" formatCode="#,##0.0">
                  <c:v>3.7</c:v>
                </c:pt>
                <c:pt idx="35" formatCode="#,##0.0">
                  <c:v>3.8</c:v>
                </c:pt>
                <c:pt idx="36" formatCode="#,##0.0">
                  <c:v>3.7</c:v>
                </c:pt>
                <c:pt idx="37" formatCode="#,##0.0">
                  <c:v>3.6</c:v>
                </c:pt>
                <c:pt idx="38" formatCode="#,##0.0">
                  <c:v>3.5</c:v>
                </c:pt>
                <c:pt idx="39" formatCode="#,##0.0">
                  <c:v>3.6</c:v>
                </c:pt>
              </c:numCache>
            </c:numRef>
          </c:val>
          <c:smooth val="0"/>
          <c:extLst>
            <c:ext xmlns:c16="http://schemas.microsoft.com/office/drawing/2014/chart" uri="{C3380CC4-5D6E-409C-BE32-E72D297353CC}">
              <c16:uniqueId val="{00000004-3D2D-4729-8267-39BC6E02641B}"/>
            </c:ext>
          </c:extLst>
        </c:ser>
        <c:ser>
          <c:idx val="5"/>
          <c:order val="5"/>
          <c:tx>
            <c:strRef>
              <c:f>'Time Series Analysis'!$S$5</c:f>
              <c:strCache>
                <c:ptCount val="1"/>
                <c:pt idx="0">
                  <c:v>Perkins  - Recipients</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'Time Series Analysis'!$B$5:$C$45</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Analysis'!$S$6:$S$45</c:f>
              <c:numCache>
                <c:formatCode>0.0</c:formatCode>
                <c:ptCount val="40"/>
                <c:pt idx="0">
                  <c:v>3</c:v>
                </c:pt>
                <c:pt idx="1">
                  <c:v>2.9</c:v>
                </c:pt>
                <c:pt idx="2">
                  <c:v>2.9</c:v>
                </c:pt>
                <c:pt idx="3">
                  <c:v>2.8</c:v>
                </c:pt>
                <c:pt idx="4">
                  <c:v>2.9</c:v>
                </c:pt>
                <c:pt idx="5">
                  <c:v>2.8</c:v>
                </c:pt>
                <c:pt idx="6">
                  <c:v>2.7</c:v>
                </c:pt>
                <c:pt idx="7">
                  <c:v>2.7</c:v>
                </c:pt>
                <c:pt idx="8">
                  <c:v>2.7</c:v>
                </c:pt>
                <c:pt idx="9">
                  <c:v>2.6</c:v>
                </c:pt>
                <c:pt idx="10">
                  <c:v>2.6</c:v>
                </c:pt>
                <c:pt idx="11">
                  <c:v>2.5</c:v>
                </c:pt>
                <c:pt idx="12">
                  <c:v>2.5</c:v>
                </c:pt>
                <c:pt idx="13">
                  <c:v>2.5</c:v>
                </c:pt>
                <c:pt idx="14">
                  <c:v>2.4</c:v>
                </c:pt>
                <c:pt idx="15">
                  <c:v>2.2999999999999998</c:v>
                </c:pt>
                <c:pt idx="16">
                  <c:v>2.2000000000000002</c:v>
                </c:pt>
                <c:pt idx="17">
                  <c:v>2.2000000000000002</c:v>
                </c:pt>
                <c:pt idx="18">
                  <c:v>2.1</c:v>
                </c:pt>
                <c:pt idx="19">
                  <c:v>2</c:v>
                </c:pt>
                <c:pt idx="20">
                  <c:v>1.9</c:v>
                </c:pt>
                <c:pt idx="21">
                  <c:v>1.9</c:v>
                </c:pt>
                <c:pt idx="22">
                  <c:v>1.8</c:v>
                </c:pt>
                <c:pt idx="23">
                  <c:v>1.7</c:v>
                </c:pt>
                <c:pt idx="24">
                  <c:v>1.7</c:v>
                </c:pt>
                <c:pt idx="25">
                  <c:v>1.6</c:v>
                </c:pt>
                <c:pt idx="26">
                  <c:v>1.6</c:v>
                </c:pt>
                <c:pt idx="27">
                  <c:v>1.5</c:v>
                </c:pt>
                <c:pt idx="28">
                  <c:v>1.5</c:v>
                </c:pt>
                <c:pt idx="29">
                  <c:v>1.4</c:v>
                </c:pt>
                <c:pt idx="30">
                  <c:v>1.3</c:v>
                </c:pt>
                <c:pt idx="31">
                  <c:v>1.3</c:v>
                </c:pt>
                <c:pt idx="32">
                  <c:v>1.3</c:v>
                </c:pt>
                <c:pt idx="33">
                  <c:v>1.2</c:v>
                </c:pt>
                <c:pt idx="34">
                  <c:v>1.2</c:v>
                </c:pt>
                <c:pt idx="35">
                  <c:v>1.2</c:v>
                </c:pt>
                <c:pt idx="36">
                  <c:v>1.1000000000000001</c:v>
                </c:pt>
                <c:pt idx="37">
                  <c:v>1.1000000000000001</c:v>
                </c:pt>
                <c:pt idx="38">
                  <c:v>1.1000000000000001</c:v>
                </c:pt>
                <c:pt idx="39">
                  <c:v>1</c:v>
                </c:pt>
              </c:numCache>
            </c:numRef>
          </c:val>
          <c:smooth val="0"/>
          <c:extLst>
            <c:ext xmlns:c16="http://schemas.microsoft.com/office/drawing/2014/chart" uri="{C3380CC4-5D6E-409C-BE32-E72D297353CC}">
              <c16:uniqueId val="{00000005-3D2D-4729-8267-39BC6E02641B}"/>
            </c:ext>
          </c:extLst>
        </c:ser>
        <c:ser>
          <c:idx val="6"/>
          <c:order val="6"/>
          <c:tx>
            <c:strRef>
              <c:f>'Time Series Analysis'!$V$5</c:f>
              <c:strCache>
                <c:ptCount val="1"/>
                <c:pt idx="0">
                  <c:v>Consolidation  - Recipients</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multiLvlStrRef>
              <c:f>'Time Series Analysis'!$B$5:$C$45</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Analysis'!$V$6:$V$45</c:f>
              <c:numCache>
                <c:formatCode>General</c:formatCode>
                <c:ptCount val="40"/>
                <c:pt idx="0">
                  <c:v>11.9</c:v>
                </c:pt>
                <c:pt idx="1">
                  <c:v>11.9</c:v>
                </c:pt>
                <c:pt idx="2">
                  <c:v>11.9</c:v>
                </c:pt>
                <c:pt idx="3">
                  <c:v>11.9</c:v>
                </c:pt>
                <c:pt idx="4" formatCode="0.0">
                  <c:v>12</c:v>
                </c:pt>
                <c:pt idx="5" formatCode="0.0">
                  <c:v>12</c:v>
                </c:pt>
                <c:pt idx="6" formatCode="0.0">
                  <c:v>12</c:v>
                </c:pt>
                <c:pt idx="7" formatCode="0.0">
                  <c:v>12</c:v>
                </c:pt>
                <c:pt idx="8" formatCode="0.0">
                  <c:v>12</c:v>
                </c:pt>
                <c:pt idx="9" formatCode="0.0">
                  <c:v>12</c:v>
                </c:pt>
                <c:pt idx="10" formatCode="0.0">
                  <c:v>12</c:v>
                </c:pt>
                <c:pt idx="11" formatCode="0.0">
                  <c:v>12</c:v>
                </c:pt>
                <c:pt idx="12" formatCode="0.0">
                  <c:v>12</c:v>
                </c:pt>
                <c:pt idx="13" formatCode="0.0">
                  <c:v>11.9</c:v>
                </c:pt>
                <c:pt idx="14" formatCode="0.0">
                  <c:v>11.9</c:v>
                </c:pt>
                <c:pt idx="15" formatCode="0.0">
                  <c:v>11.9</c:v>
                </c:pt>
                <c:pt idx="16" formatCode="0.0">
                  <c:v>11.8</c:v>
                </c:pt>
                <c:pt idx="17" formatCode="0.0">
                  <c:v>11.8</c:v>
                </c:pt>
                <c:pt idx="18" formatCode="0.0">
                  <c:v>11.8</c:v>
                </c:pt>
                <c:pt idx="19" formatCode="0.0">
                  <c:v>11.7</c:v>
                </c:pt>
                <c:pt idx="20" formatCode="0.0">
                  <c:v>11.7</c:v>
                </c:pt>
                <c:pt idx="21" formatCode="0.0">
                  <c:v>11.6</c:v>
                </c:pt>
                <c:pt idx="22">
                  <c:v>11.6</c:v>
                </c:pt>
                <c:pt idx="23" formatCode="#,##0.0">
                  <c:v>11.5</c:v>
                </c:pt>
                <c:pt idx="24" formatCode="#,##0.0">
                  <c:v>11.5</c:v>
                </c:pt>
                <c:pt idx="25" formatCode="0.0">
                  <c:v>11.4</c:v>
                </c:pt>
                <c:pt idx="26" formatCode="#,##0.0">
                  <c:v>11.3</c:v>
                </c:pt>
                <c:pt idx="27" formatCode="#,##0.0">
                  <c:v>11.3</c:v>
                </c:pt>
                <c:pt idx="28" formatCode="#,##0.0">
                  <c:v>11.2</c:v>
                </c:pt>
                <c:pt idx="29" formatCode="#,##0.0">
                  <c:v>11</c:v>
                </c:pt>
                <c:pt idx="30" formatCode="#,##0.0">
                  <c:v>10.9</c:v>
                </c:pt>
                <c:pt idx="31" formatCode="#,##0.0">
                  <c:v>10.9</c:v>
                </c:pt>
                <c:pt idx="32" formatCode="#,##0.0">
                  <c:v>11</c:v>
                </c:pt>
                <c:pt idx="33" formatCode="#,##0.0">
                  <c:v>10.7</c:v>
                </c:pt>
                <c:pt idx="34" formatCode="#,##0.0">
                  <c:v>10.5</c:v>
                </c:pt>
                <c:pt idx="35" formatCode="#,##0.0">
                  <c:v>9.8000000000000007</c:v>
                </c:pt>
                <c:pt idx="36" formatCode="#,##0.0">
                  <c:v>9.8000000000000007</c:v>
                </c:pt>
                <c:pt idx="37" formatCode="#,##0.0">
                  <c:v>9.6999999999999993</c:v>
                </c:pt>
                <c:pt idx="38" formatCode="#,##0.0">
                  <c:v>9.5</c:v>
                </c:pt>
                <c:pt idx="39" formatCode="#,##0.0">
                  <c:v>9.5</c:v>
                </c:pt>
              </c:numCache>
            </c:numRef>
          </c:val>
          <c:smooth val="0"/>
          <c:extLst>
            <c:ext xmlns:c16="http://schemas.microsoft.com/office/drawing/2014/chart" uri="{C3380CC4-5D6E-409C-BE32-E72D297353CC}">
              <c16:uniqueId val="{00000006-3D2D-4729-8267-39BC6E02641B}"/>
            </c:ext>
          </c:extLst>
        </c:ser>
        <c:dLbls>
          <c:showLegendKey val="0"/>
          <c:showVal val="0"/>
          <c:showCatName val="0"/>
          <c:showSerName val="0"/>
          <c:showPercent val="0"/>
          <c:showBubbleSize val="0"/>
        </c:dLbls>
        <c:marker val="1"/>
        <c:smooth val="0"/>
        <c:axId val="1004697936"/>
        <c:axId val="1"/>
      </c:lineChart>
      <c:catAx>
        <c:axId val="10046979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Year/Quarter</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Recipients</a:t>
                </a:r>
                <a:r>
                  <a:rPr lang="en-US" baseline="0"/>
                  <a:t> (in Millions)</a:t>
                </a:r>
                <a:endParaRPr lang="en-US"/>
              </a:p>
            </c:rich>
          </c:tx>
          <c:overlay val="0"/>
          <c:spPr>
            <a:noFill/>
            <a:ln w="25400">
              <a:noFill/>
            </a:ln>
          </c:spPr>
        </c:title>
        <c:numFmt formatCode="0.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697936"/>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[PortfoliobyLoanType.xlsm]Pivot Table Drill-down by Loan !PivotTable4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Loan Types and</a:t>
            </a:r>
            <a:r>
              <a:rPr lang="en-US" baseline="0"/>
              <a:t> Year by Year values</a:t>
            </a:r>
            <a:endParaRPr lang="en-US"/>
          </a:p>
        </c:rich>
      </c:tx>
      <c:overlay val="0"/>
      <c:spPr>
        <a:noFill/>
        <a:ln w="25400">
          <a:noFill/>
        </a:ln>
      </c:spPr>
    </c:title>
    <c:autoTitleDeleted val="0"/>
    <c:pivotFmts>
      <c:pivotFmt>
        <c:idx val="0"/>
        <c:spPr>
          <a:solidFill>
            <a:srgbClr val="2DA2BF"/>
          </a:solidFill>
          <a:ln w="25400">
            <a:noFill/>
          </a:ln>
        </c:spPr>
        <c:marker>
          <c:symbol val="none"/>
        </c:marker>
        <c:dLbl>
          <c:idx val="0"/>
          <c:delete val="1"/>
          <c:extLst>
            <c:ext xmlns:c15="http://schemas.microsoft.com/office/drawing/2012/chart" uri="{CE6537A1-D6FC-4f65-9D91-7224C49458BB}"/>
          </c:extLst>
        </c:dLbl>
      </c:pivotFmt>
      <c:pivotFmt>
        <c:idx val="1"/>
        <c:spPr>
          <a:solidFill>
            <a:srgbClr val="DA1F28"/>
          </a:solidFill>
          <a:ln w="25400">
            <a:noFill/>
          </a:ln>
        </c:spPr>
        <c:marker>
          <c:symbol val="none"/>
        </c:marker>
        <c:dLbl>
          <c:idx val="0"/>
          <c:delete val="1"/>
          <c:extLst>
            <c:ext xmlns:c15="http://schemas.microsoft.com/office/drawing/2012/chart" uri="{CE6537A1-D6FC-4f65-9D91-7224C49458BB}"/>
          </c:extLst>
        </c:dLbl>
      </c:pivotFmt>
      <c:pivotFmt>
        <c:idx val="2"/>
        <c:spPr>
          <a:solidFill>
            <a:srgbClr val="EB641B"/>
          </a:solidFill>
          <a:ln w="25400">
            <a:noFill/>
          </a:ln>
        </c:spPr>
        <c:marker>
          <c:symbol val="none"/>
        </c:marker>
        <c:dLbl>
          <c:idx val="0"/>
          <c:delete val="1"/>
          <c:extLst>
            <c:ext xmlns:c15="http://schemas.microsoft.com/office/drawing/2012/chart" uri="{CE6537A1-D6FC-4f65-9D91-7224C49458BB}"/>
          </c:extLst>
        </c:dLbl>
      </c:pivotFmt>
      <c:pivotFmt>
        <c:idx val="3"/>
        <c:spPr>
          <a:solidFill>
            <a:srgbClr val="39639D"/>
          </a:solidFill>
          <a:ln w="25400">
            <a:noFill/>
          </a:ln>
        </c:spPr>
        <c:marker>
          <c:symbol val="none"/>
        </c:marker>
        <c:dLbl>
          <c:idx val="0"/>
          <c:delete val="1"/>
          <c:extLst>
            <c:ext xmlns:c15="http://schemas.microsoft.com/office/drawing/2012/chart" uri="{CE6537A1-D6FC-4f65-9D91-7224C49458BB}"/>
          </c:extLst>
        </c:dLbl>
      </c:pivotFmt>
      <c:pivotFmt>
        <c:idx val="4"/>
        <c:spPr>
          <a:solidFill>
            <a:srgbClr val="474B78"/>
          </a:solidFill>
          <a:ln w="25400">
            <a:noFill/>
          </a:ln>
        </c:spPr>
        <c:marker>
          <c:symbol val="none"/>
        </c:marker>
        <c:dLbl>
          <c:idx val="0"/>
          <c:delete val="1"/>
          <c:extLst>
            <c:ext xmlns:c15="http://schemas.microsoft.com/office/drawing/2012/chart" uri="{CE6537A1-D6FC-4f65-9D91-7224C49458BB}"/>
          </c:extLst>
        </c:dLbl>
      </c:pivotFmt>
      <c:pivotFmt>
        <c:idx val="5"/>
        <c:spPr>
          <a:solidFill>
            <a:srgbClr val="7D3C4A"/>
          </a:solidFill>
          <a:ln w="25400">
            <a:noFill/>
          </a:ln>
        </c:spPr>
        <c:marker>
          <c:symbol val="none"/>
        </c:marker>
        <c:dLbl>
          <c:idx val="0"/>
          <c:delete val="1"/>
          <c:extLst>
            <c:ext xmlns:c15="http://schemas.microsoft.com/office/drawing/2012/chart" uri="{CE6537A1-D6FC-4f65-9D91-7224C49458BB}"/>
          </c:extLst>
        </c:dLbl>
      </c:pivotFmt>
      <c:pivotFmt>
        <c:idx val="6"/>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
        <c:idx val="7"/>
        <c:spPr>
          <a:solidFill>
            <a:srgbClr val="2DA2BF"/>
          </a:solidFill>
          <a:ln w="25400">
            <a:noFill/>
          </a:ln>
        </c:spPr>
        <c:marker>
          <c:symbol val="none"/>
        </c:marker>
        <c:dLbl>
          <c:idx val="0"/>
          <c:delete val="1"/>
          <c:extLst>
            <c:ext xmlns:c15="http://schemas.microsoft.com/office/drawing/2012/chart" uri="{CE6537A1-D6FC-4f65-9D91-7224C49458BB}"/>
          </c:extLst>
        </c:dLbl>
      </c:pivotFmt>
      <c:pivotFmt>
        <c:idx val="8"/>
        <c:spPr>
          <a:solidFill>
            <a:srgbClr val="DA1F28"/>
          </a:solidFill>
          <a:ln w="25400">
            <a:noFill/>
          </a:ln>
        </c:spPr>
        <c:marker>
          <c:symbol val="none"/>
        </c:marker>
        <c:dLbl>
          <c:idx val="0"/>
          <c:delete val="1"/>
          <c:extLst>
            <c:ext xmlns:c15="http://schemas.microsoft.com/office/drawing/2012/chart" uri="{CE6537A1-D6FC-4f65-9D91-7224C49458BB}"/>
          </c:extLst>
        </c:dLbl>
      </c:pivotFmt>
      <c:pivotFmt>
        <c:idx val="9"/>
        <c:spPr>
          <a:solidFill>
            <a:srgbClr val="EB641B"/>
          </a:solidFill>
          <a:ln w="25400">
            <a:noFill/>
          </a:ln>
        </c:spPr>
        <c:marker>
          <c:symbol val="none"/>
        </c:marker>
        <c:dLbl>
          <c:idx val="0"/>
          <c:delete val="1"/>
          <c:extLst>
            <c:ext xmlns:c15="http://schemas.microsoft.com/office/drawing/2012/chart" uri="{CE6537A1-D6FC-4f65-9D91-7224C49458BB}"/>
          </c:extLst>
        </c:dLbl>
      </c:pivotFmt>
      <c:pivotFmt>
        <c:idx val="10"/>
        <c:spPr>
          <a:solidFill>
            <a:srgbClr val="39639D"/>
          </a:solidFill>
          <a:ln w="25400">
            <a:noFill/>
          </a:ln>
        </c:spPr>
        <c:marker>
          <c:symbol val="none"/>
        </c:marker>
        <c:dLbl>
          <c:idx val="0"/>
          <c:delete val="1"/>
          <c:extLst>
            <c:ext xmlns:c15="http://schemas.microsoft.com/office/drawing/2012/chart" uri="{CE6537A1-D6FC-4f65-9D91-7224C49458BB}"/>
          </c:extLst>
        </c:dLbl>
      </c:pivotFmt>
      <c:pivotFmt>
        <c:idx val="11"/>
        <c:spPr>
          <a:solidFill>
            <a:srgbClr val="474B78"/>
          </a:solidFill>
          <a:ln w="25400">
            <a:noFill/>
          </a:ln>
        </c:spPr>
        <c:marker>
          <c:symbol val="none"/>
        </c:marker>
        <c:dLbl>
          <c:idx val="0"/>
          <c:delete val="1"/>
          <c:extLst>
            <c:ext xmlns:c15="http://schemas.microsoft.com/office/drawing/2012/chart" uri="{CE6537A1-D6FC-4f65-9D91-7224C49458BB}"/>
          </c:extLst>
        </c:dLbl>
      </c:pivotFmt>
      <c:pivotFmt>
        <c:idx val="12"/>
        <c:spPr>
          <a:solidFill>
            <a:srgbClr val="7D3C4A"/>
          </a:solidFill>
          <a:ln w="25400">
            <a:noFill/>
          </a:ln>
        </c:spPr>
        <c:marker>
          <c:symbol val="none"/>
        </c:marker>
        <c:dLbl>
          <c:idx val="0"/>
          <c:delete val="1"/>
          <c:extLst>
            <c:ext xmlns:c15="http://schemas.microsoft.com/office/drawing/2012/chart" uri="{CE6537A1-D6FC-4f65-9D91-7224C49458BB}"/>
          </c:extLst>
        </c:dLbl>
      </c:pivotFmt>
      <c:pivotFmt>
        <c:idx val="13"/>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 Table Drill-down by Loan '!$D$5:$D$6</c:f>
              <c:strCache>
                <c:ptCount val="1"/>
                <c:pt idx="0">
                  <c:v>Consolidation</c:v>
                </c:pt>
              </c:strCache>
            </c:strRef>
          </c:tx>
          <c:spPr>
            <a:solidFill>
              <a:srgbClr val="2DA2BF"/>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'!$D$7:$D$57</c:f>
              <c:numCache>
                <c:formatCode>0.00</c:formatCode>
                <c:ptCount val="40"/>
                <c:pt idx="0">
                  <c:v>394.9</c:v>
                </c:pt>
                <c:pt idx="1">
                  <c:v>402.8</c:v>
                </c:pt>
                <c:pt idx="2">
                  <c:v>410.3</c:v>
                </c:pt>
                <c:pt idx="3">
                  <c:v>416.7</c:v>
                </c:pt>
                <c:pt idx="4">
                  <c:v>423.6</c:v>
                </c:pt>
                <c:pt idx="5">
                  <c:v>431.2</c:v>
                </c:pt>
                <c:pt idx="6">
                  <c:v>439.2</c:v>
                </c:pt>
                <c:pt idx="7">
                  <c:v>447.3</c:v>
                </c:pt>
                <c:pt idx="8">
                  <c:v>456.2</c:v>
                </c:pt>
                <c:pt idx="9">
                  <c:v>464.5</c:v>
                </c:pt>
                <c:pt idx="10">
                  <c:v>472.3</c:v>
                </c:pt>
                <c:pt idx="11">
                  <c:v>480.3</c:v>
                </c:pt>
                <c:pt idx="12">
                  <c:v>489</c:v>
                </c:pt>
                <c:pt idx="13">
                  <c:v>495.9</c:v>
                </c:pt>
                <c:pt idx="14">
                  <c:v>501.9</c:v>
                </c:pt>
                <c:pt idx="15">
                  <c:v>508</c:v>
                </c:pt>
                <c:pt idx="16">
                  <c:v>515.6</c:v>
                </c:pt>
                <c:pt idx="17">
                  <c:v>521.79999999999995</c:v>
                </c:pt>
                <c:pt idx="18">
                  <c:v>528.4</c:v>
                </c:pt>
                <c:pt idx="19">
                  <c:v>536.1</c:v>
                </c:pt>
                <c:pt idx="20">
                  <c:v>542.4</c:v>
                </c:pt>
                <c:pt idx="21">
                  <c:v>547.70000000000005</c:v>
                </c:pt>
                <c:pt idx="22">
                  <c:v>550.20000000000005</c:v>
                </c:pt>
                <c:pt idx="23">
                  <c:v>552.1</c:v>
                </c:pt>
                <c:pt idx="24">
                  <c:v>552.6</c:v>
                </c:pt>
                <c:pt idx="25">
                  <c:v>554.70000000000005</c:v>
                </c:pt>
                <c:pt idx="26">
                  <c:v>554.5</c:v>
                </c:pt>
                <c:pt idx="27">
                  <c:v>555.1</c:v>
                </c:pt>
                <c:pt idx="28">
                  <c:v>553.29999999999995</c:v>
                </c:pt>
                <c:pt idx="29">
                  <c:v>549.20000000000005</c:v>
                </c:pt>
                <c:pt idx="30">
                  <c:v>548.70000000000005</c:v>
                </c:pt>
                <c:pt idx="31">
                  <c:v>550.6</c:v>
                </c:pt>
                <c:pt idx="32">
                  <c:v>560.29999999999995</c:v>
                </c:pt>
                <c:pt idx="33">
                  <c:v>547.29999999999995</c:v>
                </c:pt>
                <c:pt idx="34">
                  <c:v>536.20000000000005</c:v>
                </c:pt>
                <c:pt idx="35">
                  <c:v>498.3</c:v>
                </c:pt>
                <c:pt idx="36">
                  <c:v>505.9</c:v>
                </c:pt>
                <c:pt idx="37">
                  <c:v>509.2</c:v>
                </c:pt>
                <c:pt idx="38">
                  <c:v>510.3</c:v>
                </c:pt>
                <c:pt idx="39">
                  <c:v>517.20000000000005</c:v>
                </c:pt>
              </c:numCache>
            </c:numRef>
          </c:val>
          <c:extLst>
            <c:ext xmlns:c16="http://schemas.microsoft.com/office/drawing/2014/chart" uri="{C3380CC4-5D6E-409C-BE32-E72D297353CC}">
              <c16:uniqueId val="{00000000-ACFC-44C6-87AE-60AE8AA2E8F1}"/>
            </c:ext>
          </c:extLst>
        </c:ser>
        <c:ser>
          <c:idx val="1"/>
          <c:order val="1"/>
          <c:tx>
            <c:strRef>
              <c:f>'Pivot Table Drill-down by Loan '!$E$5:$E$6</c:f>
              <c:strCache>
                <c:ptCount val="1"/>
                <c:pt idx="0">
                  <c:v>Grad PLUS</c:v>
                </c:pt>
              </c:strCache>
            </c:strRef>
          </c:tx>
          <c:spPr>
            <a:solidFill>
              <a:srgbClr val="DA1F28"/>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'!$E$7:$E$57</c:f>
              <c:numCache>
                <c:formatCode>0.00</c:formatCode>
                <c:ptCount val="40"/>
                <c:pt idx="0">
                  <c:v>40.9</c:v>
                </c:pt>
                <c:pt idx="1">
                  <c:v>43.4</c:v>
                </c:pt>
                <c:pt idx="2">
                  <c:v>44.1</c:v>
                </c:pt>
                <c:pt idx="3">
                  <c:v>46.8</c:v>
                </c:pt>
                <c:pt idx="4">
                  <c:v>46.6</c:v>
                </c:pt>
                <c:pt idx="5">
                  <c:v>49.4</c:v>
                </c:pt>
                <c:pt idx="6">
                  <c:v>50.2</c:v>
                </c:pt>
                <c:pt idx="7">
                  <c:v>53</c:v>
                </c:pt>
                <c:pt idx="8">
                  <c:v>52.8</c:v>
                </c:pt>
                <c:pt idx="9">
                  <c:v>55.7</c:v>
                </c:pt>
                <c:pt idx="10">
                  <c:v>56.6</c:v>
                </c:pt>
                <c:pt idx="11">
                  <c:v>59.7</c:v>
                </c:pt>
                <c:pt idx="12">
                  <c:v>59.6</c:v>
                </c:pt>
                <c:pt idx="13">
                  <c:v>62.8</c:v>
                </c:pt>
                <c:pt idx="14">
                  <c:v>63.9</c:v>
                </c:pt>
                <c:pt idx="15">
                  <c:v>67</c:v>
                </c:pt>
                <c:pt idx="16">
                  <c:v>71.3</c:v>
                </c:pt>
                <c:pt idx="17">
                  <c:v>70.7</c:v>
                </c:pt>
                <c:pt idx="18">
                  <c:v>71.900000000000006</c:v>
                </c:pt>
                <c:pt idx="19">
                  <c:v>75.2</c:v>
                </c:pt>
                <c:pt idx="20">
                  <c:v>75.3</c:v>
                </c:pt>
                <c:pt idx="21">
                  <c:v>78.8</c:v>
                </c:pt>
                <c:pt idx="22">
                  <c:v>79.5</c:v>
                </c:pt>
                <c:pt idx="23">
                  <c:v>82.8</c:v>
                </c:pt>
                <c:pt idx="24">
                  <c:v>82.7</c:v>
                </c:pt>
                <c:pt idx="25">
                  <c:v>86.3</c:v>
                </c:pt>
                <c:pt idx="26">
                  <c:v>87.3</c:v>
                </c:pt>
                <c:pt idx="27">
                  <c:v>90.7</c:v>
                </c:pt>
                <c:pt idx="28">
                  <c:v>90.6</c:v>
                </c:pt>
                <c:pt idx="29">
                  <c:v>94</c:v>
                </c:pt>
                <c:pt idx="30">
                  <c:v>94.9</c:v>
                </c:pt>
                <c:pt idx="31">
                  <c:v>97.9</c:v>
                </c:pt>
                <c:pt idx="32">
                  <c:v>96.7</c:v>
                </c:pt>
                <c:pt idx="33">
                  <c:v>100.7</c:v>
                </c:pt>
                <c:pt idx="34">
                  <c:v>101.9</c:v>
                </c:pt>
                <c:pt idx="35">
                  <c:v>104</c:v>
                </c:pt>
                <c:pt idx="36">
                  <c:v>103.4</c:v>
                </c:pt>
                <c:pt idx="37">
                  <c:v>107.5</c:v>
                </c:pt>
                <c:pt idx="38">
                  <c:v>107.7</c:v>
                </c:pt>
                <c:pt idx="39">
                  <c:v>112.1</c:v>
                </c:pt>
              </c:numCache>
            </c:numRef>
          </c:val>
          <c:extLst>
            <c:ext xmlns:c16="http://schemas.microsoft.com/office/drawing/2014/chart" uri="{C3380CC4-5D6E-409C-BE32-E72D297353CC}">
              <c16:uniqueId val="{00000001-ACFC-44C6-87AE-60AE8AA2E8F1}"/>
            </c:ext>
          </c:extLst>
        </c:ser>
        <c:ser>
          <c:idx val="2"/>
          <c:order val="2"/>
          <c:tx>
            <c:strRef>
              <c:f>'Pivot Table Drill-down by Loan '!$F$5:$F$6</c:f>
              <c:strCache>
                <c:ptCount val="1"/>
                <c:pt idx="0">
                  <c:v>Parent PLUS</c:v>
                </c:pt>
              </c:strCache>
            </c:strRef>
          </c:tx>
          <c:spPr>
            <a:solidFill>
              <a:srgbClr val="EB641B"/>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'!$F$7:$F$57</c:f>
              <c:numCache>
                <c:formatCode>0.00</c:formatCode>
                <c:ptCount val="40"/>
                <c:pt idx="0">
                  <c:v>65.099999999999994</c:v>
                </c:pt>
                <c:pt idx="1">
                  <c:v>68.7</c:v>
                </c:pt>
                <c:pt idx="2">
                  <c:v>68</c:v>
                </c:pt>
                <c:pt idx="3">
                  <c:v>71.099999999999994</c:v>
                </c:pt>
                <c:pt idx="4">
                  <c:v>71.099999999999994</c:v>
                </c:pt>
                <c:pt idx="5">
                  <c:v>75.2</c:v>
                </c:pt>
                <c:pt idx="6">
                  <c:v>74.5</c:v>
                </c:pt>
                <c:pt idx="7">
                  <c:v>77.8</c:v>
                </c:pt>
                <c:pt idx="8">
                  <c:v>77.5</c:v>
                </c:pt>
                <c:pt idx="9">
                  <c:v>81.5</c:v>
                </c:pt>
                <c:pt idx="10">
                  <c:v>80.5</c:v>
                </c:pt>
                <c:pt idx="11">
                  <c:v>83.9</c:v>
                </c:pt>
                <c:pt idx="12">
                  <c:v>83.7</c:v>
                </c:pt>
                <c:pt idx="13">
                  <c:v>87.7</c:v>
                </c:pt>
                <c:pt idx="14">
                  <c:v>86.7</c:v>
                </c:pt>
                <c:pt idx="15">
                  <c:v>89.9</c:v>
                </c:pt>
                <c:pt idx="16">
                  <c:v>89.8</c:v>
                </c:pt>
                <c:pt idx="17">
                  <c:v>93.9</c:v>
                </c:pt>
                <c:pt idx="18">
                  <c:v>92.9</c:v>
                </c:pt>
                <c:pt idx="19">
                  <c:v>96.1</c:v>
                </c:pt>
                <c:pt idx="20">
                  <c:v>95.6</c:v>
                </c:pt>
                <c:pt idx="21">
                  <c:v>99.4</c:v>
                </c:pt>
                <c:pt idx="22">
                  <c:v>98.3</c:v>
                </c:pt>
                <c:pt idx="23">
                  <c:v>100.8</c:v>
                </c:pt>
                <c:pt idx="24">
                  <c:v>100.3</c:v>
                </c:pt>
                <c:pt idx="25">
                  <c:v>103.6</c:v>
                </c:pt>
                <c:pt idx="26">
                  <c:v>102.8</c:v>
                </c:pt>
                <c:pt idx="27">
                  <c:v>105.4</c:v>
                </c:pt>
                <c:pt idx="28">
                  <c:v>104.8</c:v>
                </c:pt>
                <c:pt idx="29">
                  <c:v>107.3</c:v>
                </c:pt>
                <c:pt idx="30">
                  <c:v>106.3</c:v>
                </c:pt>
                <c:pt idx="31">
                  <c:v>108.5</c:v>
                </c:pt>
                <c:pt idx="32">
                  <c:v>107.6</c:v>
                </c:pt>
                <c:pt idx="33">
                  <c:v>111.7</c:v>
                </c:pt>
                <c:pt idx="34">
                  <c:v>111.3</c:v>
                </c:pt>
                <c:pt idx="35">
                  <c:v>112.2</c:v>
                </c:pt>
                <c:pt idx="36">
                  <c:v>107.2</c:v>
                </c:pt>
                <c:pt idx="37">
                  <c:v>109.8</c:v>
                </c:pt>
                <c:pt idx="38">
                  <c:v>107.1</c:v>
                </c:pt>
                <c:pt idx="39">
                  <c:v>110.3</c:v>
                </c:pt>
              </c:numCache>
            </c:numRef>
          </c:val>
          <c:extLst>
            <c:ext xmlns:c16="http://schemas.microsoft.com/office/drawing/2014/chart" uri="{C3380CC4-5D6E-409C-BE32-E72D297353CC}">
              <c16:uniqueId val="{00000002-ACFC-44C6-87AE-60AE8AA2E8F1}"/>
            </c:ext>
          </c:extLst>
        </c:ser>
        <c:ser>
          <c:idx val="3"/>
          <c:order val="3"/>
          <c:tx>
            <c:strRef>
              <c:f>'Pivot Table Drill-down by Loan '!$G$5:$G$6</c:f>
              <c:strCache>
                <c:ptCount val="1"/>
                <c:pt idx="0">
                  <c:v>Perkins</c:v>
                </c:pt>
              </c:strCache>
            </c:strRef>
          </c:tx>
          <c:spPr>
            <a:solidFill>
              <a:srgbClr val="39639D"/>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'!$G$7:$G$57</c:f>
              <c:numCache>
                <c:formatCode>0.00</c:formatCode>
                <c:ptCount val="40"/>
                <c:pt idx="0">
                  <c:v>8.1999999999999993</c:v>
                </c:pt>
                <c:pt idx="1">
                  <c:v>8.3000000000000007</c:v>
                </c:pt>
                <c:pt idx="2">
                  <c:v>8.1999999999999993</c:v>
                </c:pt>
                <c:pt idx="3">
                  <c:v>8.1</c:v>
                </c:pt>
                <c:pt idx="4">
                  <c:v>8.1</c:v>
                </c:pt>
                <c:pt idx="5">
                  <c:v>8.1999999999999993</c:v>
                </c:pt>
                <c:pt idx="6">
                  <c:v>8</c:v>
                </c:pt>
                <c:pt idx="7">
                  <c:v>7.9</c:v>
                </c:pt>
                <c:pt idx="8">
                  <c:v>7.9</c:v>
                </c:pt>
                <c:pt idx="9">
                  <c:v>7.9</c:v>
                </c:pt>
                <c:pt idx="10">
                  <c:v>7.8</c:v>
                </c:pt>
                <c:pt idx="11">
                  <c:v>7.6</c:v>
                </c:pt>
                <c:pt idx="12">
                  <c:v>7.6</c:v>
                </c:pt>
                <c:pt idx="13">
                  <c:v>7.6</c:v>
                </c:pt>
                <c:pt idx="14">
                  <c:v>7.4</c:v>
                </c:pt>
                <c:pt idx="15">
                  <c:v>7.1</c:v>
                </c:pt>
                <c:pt idx="16">
                  <c:v>6.9</c:v>
                </c:pt>
                <c:pt idx="17">
                  <c:v>6.6</c:v>
                </c:pt>
                <c:pt idx="18">
                  <c:v>6.3</c:v>
                </c:pt>
                <c:pt idx="19">
                  <c:v>6.1</c:v>
                </c:pt>
                <c:pt idx="20">
                  <c:v>5.9</c:v>
                </c:pt>
                <c:pt idx="21">
                  <c:v>5.6</c:v>
                </c:pt>
                <c:pt idx="22">
                  <c:v>5.4</c:v>
                </c:pt>
                <c:pt idx="23">
                  <c:v>5.2</c:v>
                </c:pt>
                <c:pt idx="24">
                  <c:v>4.9000000000000004</c:v>
                </c:pt>
                <c:pt idx="25">
                  <c:v>4.7</c:v>
                </c:pt>
                <c:pt idx="26">
                  <c:v>4.3</c:v>
                </c:pt>
                <c:pt idx="27">
                  <c:v>4.4000000000000004</c:v>
                </c:pt>
                <c:pt idx="28">
                  <c:v>4.2</c:v>
                </c:pt>
                <c:pt idx="29">
                  <c:v>4.2</c:v>
                </c:pt>
                <c:pt idx="30">
                  <c:v>4</c:v>
                </c:pt>
                <c:pt idx="31">
                  <c:v>3.9</c:v>
                </c:pt>
                <c:pt idx="32">
                  <c:v>3.8</c:v>
                </c:pt>
                <c:pt idx="33">
                  <c:v>3.7</c:v>
                </c:pt>
                <c:pt idx="34">
                  <c:v>3.7</c:v>
                </c:pt>
                <c:pt idx="35">
                  <c:v>3.6</c:v>
                </c:pt>
                <c:pt idx="36">
                  <c:v>3.5</c:v>
                </c:pt>
                <c:pt idx="37">
                  <c:v>3.4</c:v>
                </c:pt>
                <c:pt idx="38">
                  <c:v>3.3</c:v>
                </c:pt>
                <c:pt idx="39">
                  <c:v>3.2</c:v>
                </c:pt>
              </c:numCache>
            </c:numRef>
          </c:val>
          <c:extLst>
            <c:ext xmlns:c16="http://schemas.microsoft.com/office/drawing/2014/chart" uri="{C3380CC4-5D6E-409C-BE32-E72D297353CC}">
              <c16:uniqueId val="{00000003-ACFC-44C6-87AE-60AE8AA2E8F1}"/>
            </c:ext>
          </c:extLst>
        </c:ser>
        <c:ser>
          <c:idx val="4"/>
          <c:order val="4"/>
          <c:tx>
            <c:strRef>
              <c:f>'Pivot Table Drill-down by Loan '!$H$5:$H$6</c:f>
              <c:strCache>
                <c:ptCount val="1"/>
                <c:pt idx="0">
                  <c:v>Stafford (Combined)</c:v>
                </c:pt>
              </c:strCache>
            </c:strRef>
          </c:tx>
          <c:spPr>
            <a:solidFill>
              <a:srgbClr val="474B78"/>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'!$H$7:$H$57</c:f>
              <c:numCache>
                <c:formatCode>0.00</c:formatCode>
                <c:ptCount val="40"/>
                <c:pt idx="0">
                  <c:v>630.9</c:v>
                </c:pt>
                <c:pt idx="1">
                  <c:v>651.29999999999995</c:v>
                </c:pt>
                <c:pt idx="2">
                  <c:v>651.6</c:v>
                </c:pt>
                <c:pt idx="3">
                  <c:v>669.7</c:v>
                </c:pt>
                <c:pt idx="4">
                  <c:v>670.7</c:v>
                </c:pt>
                <c:pt idx="5">
                  <c:v>690.8</c:v>
                </c:pt>
                <c:pt idx="6">
                  <c:v>690.3</c:v>
                </c:pt>
                <c:pt idx="7">
                  <c:v>706.2</c:v>
                </c:pt>
                <c:pt idx="8">
                  <c:v>705.3</c:v>
                </c:pt>
                <c:pt idx="9">
                  <c:v>722.2</c:v>
                </c:pt>
                <c:pt idx="10">
                  <c:v>720.2</c:v>
                </c:pt>
                <c:pt idx="11">
                  <c:v>735.5</c:v>
                </c:pt>
                <c:pt idx="12">
                  <c:v>735.5</c:v>
                </c:pt>
                <c:pt idx="13">
                  <c:v>753</c:v>
                </c:pt>
                <c:pt idx="14">
                  <c:v>752.1</c:v>
                </c:pt>
                <c:pt idx="15">
                  <c:v>767.1</c:v>
                </c:pt>
                <c:pt idx="16">
                  <c:v>767.7</c:v>
                </c:pt>
                <c:pt idx="17">
                  <c:v>783.5</c:v>
                </c:pt>
                <c:pt idx="18">
                  <c:v>781.6</c:v>
                </c:pt>
                <c:pt idx="19">
                  <c:v>796.7</c:v>
                </c:pt>
                <c:pt idx="20">
                  <c:v>795.8</c:v>
                </c:pt>
                <c:pt idx="21">
                  <c:v>811.4</c:v>
                </c:pt>
                <c:pt idx="22">
                  <c:v>811.4</c:v>
                </c:pt>
                <c:pt idx="23">
                  <c:v>825.5</c:v>
                </c:pt>
                <c:pt idx="24">
                  <c:v>824.6</c:v>
                </c:pt>
                <c:pt idx="25">
                  <c:v>842.5</c:v>
                </c:pt>
                <c:pt idx="26">
                  <c:v>842.2</c:v>
                </c:pt>
                <c:pt idx="27">
                  <c:v>855</c:v>
                </c:pt>
                <c:pt idx="28">
                  <c:v>853.4</c:v>
                </c:pt>
                <c:pt idx="29">
                  <c:v>864.9</c:v>
                </c:pt>
                <c:pt idx="30">
                  <c:v>863.3</c:v>
                </c:pt>
                <c:pt idx="31">
                  <c:v>873.6</c:v>
                </c:pt>
                <c:pt idx="32">
                  <c:v>867.1</c:v>
                </c:pt>
                <c:pt idx="33">
                  <c:v>881.1</c:v>
                </c:pt>
                <c:pt idx="34">
                  <c:v>880.8</c:v>
                </c:pt>
                <c:pt idx="35">
                  <c:v>884.1</c:v>
                </c:pt>
                <c:pt idx="36">
                  <c:v>878.5</c:v>
                </c:pt>
                <c:pt idx="37">
                  <c:v>890.3</c:v>
                </c:pt>
                <c:pt idx="38">
                  <c:v>882.6</c:v>
                </c:pt>
                <c:pt idx="39">
                  <c:v>895.9</c:v>
                </c:pt>
              </c:numCache>
            </c:numRef>
          </c:val>
          <c:extLst>
            <c:ext xmlns:c16="http://schemas.microsoft.com/office/drawing/2014/chart" uri="{C3380CC4-5D6E-409C-BE32-E72D297353CC}">
              <c16:uniqueId val="{00000004-ACFC-44C6-87AE-60AE8AA2E8F1}"/>
            </c:ext>
          </c:extLst>
        </c:ser>
        <c:ser>
          <c:idx val="5"/>
          <c:order val="5"/>
          <c:tx>
            <c:strRef>
              <c:f>'Pivot Table Drill-down by Loan '!$I$5:$I$6</c:f>
              <c:strCache>
                <c:ptCount val="1"/>
                <c:pt idx="0">
                  <c:v>Stafford Subsidized </c:v>
                </c:pt>
              </c:strCache>
            </c:strRef>
          </c:tx>
          <c:spPr>
            <a:solidFill>
              <a:srgbClr val="7D3C4A"/>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'!$I$7:$I$57</c:f>
              <c:numCache>
                <c:formatCode>0.00</c:formatCode>
                <c:ptCount val="40"/>
                <c:pt idx="0">
                  <c:v>258</c:v>
                </c:pt>
                <c:pt idx="1">
                  <c:v>262.89999999999998</c:v>
                </c:pt>
                <c:pt idx="2">
                  <c:v>260.7</c:v>
                </c:pt>
                <c:pt idx="3">
                  <c:v>264.8</c:v>
                </c:pt>
                <c:pt idx="4">
                  <c:v>264.10000000000002</c:v>
                </c:pt>
                <c:pt idx="5">
                  <c:v>269</c:v>
                </c:pt>
                <c:pt idx="6">
                  <c:v>266.7</c:v>
                </c:pt>
                <c:pt idx="7">
                  <c:v>270.10000000000002</c:v>
                </c:pt>
                <c:pt idx="8">
                  <c:v>268.8</c:v>
                </c:pt>
                <c:pt idx="9">
                  <c:v>272.5</c:v>
                </c:pt>
                <c:pt idx="10">
                  <c:v>269.89999999999998</c:v>
                </c:pt>
                <c:pt idx="11">
                  <c:v>273.10000000000002</c:v>
                </c:pt>
                <c:pt idx="12">
                  <c:v>272.2</c:v>
                </c:pt>
                <c:pt idx="13">
                  <c:v>276.39999999999998</c:v>
                </c:pt>
                <c:pt idx="14">
                  <c:v>274.2</c:v>
                </c:pt>
                <c:pt idx="15">
                  <c:v>277.5</c:v>
                </c:pt>
                <c:pt idx="16">
                  <c:v>276.8</c:v>
                </c:pt>
                <c:pt idx="17">
                  <c:v>280</c:v>
                </c:pt>
                <c:pt idx="18">
                  <c:v>277.39999999999998</c:v>
                </c:pt>
                <c:pt idx="19">
                  <c:v>280.7</c:v>
                </c:pt>
                <c:pt idx="20">
                  <c:v>279.60000000000002</c:v>
                </c:pt>
                <c:pt idx="21">
                  <c:v>282.89999999999998</c:v>
                </c:pt>
                <c:pt idx="22">
                  <c:v>282.3</c:v>
                </c:pt>
                <c:pt idx="23">
                  <c:v>285.7</c:v>
                </c:pt>
                <c:pt idx="24">
                  <c:v>285.2</c:v>
                </c:pt>
                <c:pt idx="25">
                  <c:v>289.8</c:v>
                </c:pt>
                <c:pt idx="26">
                  <c:v>288.7</c:v>
                </c:pt>
                <c:pt idx="27">
                  <c:v>291.5</c:v>
                </c:pt>
                <c:pt idx="28">
                  <c:v>290.89999999999998</c:v>
                </c:pt>
                <c:pt idx="29">
                  <c:v>293.10000000000002</c:v>
                </c:pt>
                <c:pt idx="30">
                  <c:v>291.89999999999998</c:v>
                </c:pt>
                <c:pt idx="31">
                  <c:v>294.3</c:v>
                </c:pt>
                <c:pt idx="32">
                  <c:v>293</c:v>
                </c:pt>
                <c:pt idx="33">
                  <c:v>296.2</c:v>
                </c:pt>
                <c:pt idx="34">
                  <c:v>295.39999999999998</c:v>
                </c:pt>
                <c:pt idx="35">
                  <c:v>295.60000000000002</c:v>
                </c:pt>
                <c:pt idx="36">
                  <c:v>293.3</c:v>
                </c:pt>
                <c:pt idx="37">
                  <c:v>295.39999999999998</c:v>
                </c:pt>
                <c:pt idx="38">
                  <c:v>291.8</c:v>
                </c:pt>
                <c:pt idx="39">
                  <c:v>294.39999999999998</c:v>
                </c:pt>
              </c:numCache>
            </c:numRef>
          </c:val>
          <c:extLst>
            <c:ext xmlns:c16="http://schemas.microsoft.com/office/drawing/2014/chart" uri="{C3380CC4-5D6E-409C-BE32-E72D297353CC}">
              <c16:uniqueId val="{00000005-ACFC-44C6-87AE-60AE8AA2E8F1}"/>
            </c:ext>
          </c:extLst>
        </c:ser>
        <c:ser>
          <c:idx val="6"/>
          <c:order val="6"/>
          <c:tx>
            <c:strRef>
              <c:f>'Pivot Table Drill-down by Loan '!$J$5:$J$6</c:f>
              <c:strCache>
                <c:ptCount val="1"/>
                <c:pt idx="0">
                  <c:v>Stafford Unsubsidized</c:v>
                </c:pt>
              </c:strCache>
            </c:strRef>
          </c:tx>
          <c:spPr>
            <a:solidFill>
              <a:schemeClr val="accent1">
                <a:lumMod val="60000"/>
              </a:schemeClr>
            </a:solidFill>
            <a:ln>
              <a:noFill/>
            </a:ln>
            <a:effectLst/>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'!$J$7:$J$57</c:f>
              <c:numCache>
                <c:formatCode>0.00</c:formatCode>
                <c:ptCount val="40"/>
                <c:pt idx="0">
                  <c:v>373</c:v>
                </c:pt>
                <c:pt idx="1">
                  <c:v>388.4</c:v>
                </c:pt>
                <c:pt idx="2">
                  <c:v>390.8</c:v>
                </c:pt>
                <c:pt idx="3">
                  <c:v>404.9</c:v>
                </c:pt>
                <c:pt idx="4">
                  <c:v>406.6</c:v>
                </c:pt>
                <c:pt idx="5">
                  <c:v>421.8</c:v>
                </c:pt>
                <c:pt idx="6">
                  <c:v>423.5</c:v>
                </c:pt>
                <c:pt idx="7">
                  <c:v>436.1</c:v>
                </c:pt>
                <c:pt idx="8">
                  <c:v>436.5</c:v>
                </c:pt>
                <c:pt idx="9">
                  <c:v>449.6</c:v>
                </c:pt>
                <c:pt idx="10">
                  <c:v>450.3</c:v>
                </c:pt>
                <c:pt idx="11">
                  <c:v>462.4</c:v>
                </c:pt>
                <c:pt idx="12">
                  <c:v>463.3</c:v>
                </c:pt>
                <c:pt idx="13">
                  <c:v>476.6</c:v>
                </c:pt>
                <c:pt idx="14">
                  <c:v>477.8</c:v>
                </c:pt>
                <c:pt idx="15">
                  <c:v>489.6</c:v>
                </c:pt>
                <c:pt idx="16">
                  <c:v>490.9</c:v>
                </c:pt>
                <c:pt idx="17">
                  <c:v>503.5</c:v>
                </c:pt>
                <c:pt idx="18">
                  <c:v>504.2</c:v>
                </c:pt>
                <c:pt idx="19">
                  <c:v>516</c:v>
                </c:pt>
                <c:pt idx="20">
                  <c:v>516.29999999999995</c:v>
                </c:pt>
                <c:pt idx="21">
                  <c:v>528.5</c:v>
                </c:pt>
                <c:pt idx="22">
                  <c:v>529.1</c:v>
                </c:pt>
                <c:pt idx="23">
                  <c:v>539.79999999999995</c:v>
                </c:pt>
                <c:pt idx="24">
                  <c:v>539.4</c:v>
                </c:pt>
                <c:pt idx="25">
                  <c:v>552.70000000000005</c:v>
                </c:pt>
                <c:pt idx="26">
                  <c:v>553.5</c:v>
                </c:pt>
                <c:pt idx="27">
                  <c:v>563.5</c:v>
                </c:pt>
                <c:pt idx="28">
                  <c:v>562.5</c:v>
                </c:pt>
                <c:pt idx="29">
                  <c:v>571.9</c:v>
                </c:pt>
                <c:pt idx="30">
                  <c:v>571.5</c:v>
                </c:pt>
                <c:pt idx="31">
                  <c:v>579.29999999999995</c:v>
                </c:pt>
                <c:pt idx="32">
                  <c:v>574.1</c:v>
                </c:pt>
                <c:pt idx="33">
                  <c:v>584.9</c:v>
                </c:pt>
                <c:pt idx="34">
                  <c:v>585.4</c:v>
                </c:pt>
                <c:pt idx="35">
                  <c:v>588.5</c:v>
                </c:pt>
                <c:pt idx="36">
                  <c:v>585.20000000000005</c:v>
                </c:pt>
                <c:pt idx="37">
                  <c:v>594.9</c:v>
                </c:pt>
                <c:pt idx="38">
                  <c:v>590.79999999999995</c:v>
                </c:pt>
                <c:pt idx="39">
                  <c:v>601.5</c:v>
                </c:pt>
              </c:numCache>
            </c:numRef>
          </c:val>
          <c:extLst>
            <c:ext xmlns:c16="http://schemas.microsoft.com/office/drawing/2014/chart" uri="{C3380CC4-5D6E-409C-BE32-E72D297353CC}">
              <c16:uniqueId val="{00000006-ACFC-44C6-87AE-60AE8AA2E8F1}"/>
            </c:ext>
          </c:extLst>
        </c:ser>
        <c:dLbls>
          <c:showLegendKey val="0"/>
          <c:showVal val="0"/>
          <c:showCatName val="0"/>
          <c:showSerName val="0"/>
          <c:showPercent val="0"/>
          <c:showBubbleSize val="0"/>
        </c:dLbls>
        <c:gapWidth val="219"/>
        <c:overlap val="-27"/>
        <c:axId val="1004681616"/>
        <c:axId val="1"/>
      </c:barChart>
      <c:catAx>
        <c:axId val="10046816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Year(Quarter by Quarter)</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681616"/>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[PortfoliobyLoanType.xlsm]Pivot Table Drill-down by Loan !PivotTable4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Loan Distribution and Market Share Analysis</a:t>
            </a:r>
          </a:p>
        </c:rich>
      </c:tx>
      <c:overlay val="0"/>
      <c:spPr>
        <a:noFill/>
        <a:ln w="25400">
          <a:noFill/>
        </a:ln>
      </c:spPr>
    </c:title>
    <c:autoTitleDeleted val="0"/>
    <c:pivotFmts>
      <c:pivotFmt>
        <c:idx val="0"/>
        <c:spPr>
          <a:solidFill>
            <a:srgbClr val="2DA2BF"/>
          </a:solidFill>
          <a:ln w="25400">
            <a:noFill/>
          </a:ln>
        </c:spPr>
        <c:marker>
          <c:symbol val="none"/>
        </c:marker>
        <c:dLbl>
          <c:idx val="0"/>
          <c:delete val="1"/>
          <c:extLst>
            <c:ext xmlns:c15="http://schemas.microsoft.com/office/drawing/2012/chart" uri="{CE6537A1-D6FC-4f65-9D91-7224C49458BB}"/>
          </c:extLst>
        </c:dLbl>
      </c:pivotFmt>
      <c:pivotFmt>
        <c:idx val="1"/>
        <c:spPr>
          <a:solidFill>
            <a:srgbClr val="DA1F28"/>
          </a:solidFill>
          <a:ln w="25400">
            <a:noFill/>
          </a:ln>
        </c:spPr>
        <c:marker>
          <c:symbol val="none"/>
        </c:marker>
        <c:dLbl>
          <c:idx val="0"/>
          <c:delete val="1"/>
          <c:extLst>
            <c:ext xmlns:c15="http://schemas.microsoft.com/office/drawing/2012/chart" uri="{CE6537A1-D6FC-4f65-9D91-7224C49458BB}"/>
          </c:extLst>
        </c:dLbl>
      </c:pivotFmt>
      <c:pivotFmt>
        <c:idx val="2"/>
        <c:spPr>
          <a:solidFill>
            <a:srgbClr val="EB641B"/>
          </a:solidFill>
          <a:ln w="25400">
            <a:noFill/>
          </a:ln>
        </c:spPr>
        <c:marker>
          <c:symbol val="none"/>
        </c:marker>
        <c:dLbl>
          <c:idx val="0"/>
          <c:delete val="1"/>
          <c:extLst>
            <c:ext xmlns:c15="http://schemas.microsoft.com/office/drawing/2012/chart" uri="{CE6537A1-D6FC-4f65-9D91-7224C49458BB}"/>
          </c:extLst>
        </c:dLbl>
      </c:pivotFmt>
      <c:pivotFmt>
        <c:idx val="3"/>
        <c:spPr>
          <a:solidFill>
            <a:srgbClr val="39639D"/>
          </a:solidFill>
          <a:ln w="25400">
            <a:noFill/>
          </a:ln>
        </c:spPr>
        <c:marker>
          <c:symbol val="none"/>
        </c:marker>
        <c:dLbl>
          <c:idx val="0"/>
          <c:delete val="1"/>
          <c:extLst>
            <c:ext xmlns:c15="http://schemas.microsoft.com/office/drawing/2012/chart" uri="{CE6537A1-D6FC-4f65-9D91-7224C49458BB}"/>
          </c:extLst>
        </c:dLbl>
      </c:pivotFmt>
      <c:pivotFmt>
        <c:idx val="4"/>
        <c:spPr>
          <a:solidFill>
            <a:srgbClr val="474B78"/>
          </a:solidFill>
          <a:ln w="25400">
            <a:noFill/>
          </a:ln>
        </c:spPr>
        <c:marker>
          <c:symbol val="none"/>
        </c:marker>
        <c:dLbl>
          <c:idx val="0"/>
          <c:delete val="1"/>
          <c:extLst>
            <c:ext xmlns:c15="http://schemas.microsoft.com/office/drawing/2012/chart" uri="{CE6537A1-D6FC-4f65-9D91-7224C49458BB}"/>
          </c:extLst>
        </c:dLbl>
      </c:pivotFmt>
      <c:pivotFmt>
        <c:idx val="5"/>
        <c:spPr>
          <a:solidFill>
            <a:srgbClr val="7D3C4A"/>
          </a:solidFill>
          <a:ln w="25400">
            <a:noFill/>
          </a:ln>
        </c:spPr>
        <c:marker>
          <c:symbol val="none"/>
        </c:marker>
        <c:dLbl>
          <c:idx val="0"/>
          <c:delete val="1"/>
          <c:extLst>
            <c:ext xmlns:c15="http://schemas.microsoft.com/office/drawing/2012/chart" uri="{CE6537A1-D6FC-4f65-9D91-7224C49458BB}"/>
          </c:extLst>
        </c:dLbl>
      </c:pivotFmt>
      <c:pivotFmt>
        <c:idx val="6"/>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
        <c:idx val="7"/>
        <c:spPr>
          <a:solidFill>
            <a:srgbClr val="2DA2BF"/>
          </a:solidFill>
          <a:ln w="25400">
            <a:noFill/>
          </a:ln>
        </c:spPr>
        <c:marker>
          <c:symbol val="none"/>
        </c:marker>
        <c:dLbl>
          <c:idx val="0"/>
          <c:delete val="1"/>
          <c:extLst>
            <c:ext xmlns:c15="http://schemas.microsoft.com/office/drawing/2012/chart" uri="{CE6537A1-D6FC-4f65-9D91-7224C49458BB}"/>
          </c:extLst>
        </c:dLbl>
      </c:pivotFmt>
      <c:pivotFmt>
        <c:idx val="8"/>
        <c:spPr>
          <a:solidFill>
            <a:srgbClr val="DA1F28"/>
          </a:solidFill>
          <a:ln w="25400">
            <a:noFill/>
          </a:ln>
        </c:spPr>
        <c:marker>
          <c:symbol val="none"/>
        </c:marker>
        <c:dLbl>
          <c:idx val="0"/>
          <c:delete val="1"/>
          <c:extLst>
            <c:ext xmlns:c15="http://schemas.microsoft.com/office/drawing/2012/chart" uri="{CE6537A1-D6FC-4f65-9D91-7224C49458BB}"/>
          </c:extLst>
        </c:dLbl>
      </c:pivotFmt>
      <c:pivotFmt>
        <c:idx val="9"/>
        <c:spPr>
          <a:solidFill>
            <a:srgbClr val="EB641B"/>
          </a:solidFill>
          <a:ln w="25400">
            <a:noFill/>
          </a:ln>
        </c:spPr>
        <c:marker>
          <c:symbol val="none"/>
        </c:marker>
        <c:dLbl>
          <c:idx val="0"/>
          <c:delete val="1"/>
          <c:extLst>
            <c:ext xmlns:c15="http://schemas.microsoft.com/office/drawing/2012/chart" uri="{CE6537A1-D6FC-4f65-9D91-7224C49458BB}"/>
          </c:extLst>
        </c:dLbl>
      </c:pivotFmt>
      <c:pivotFmt>
        <c:idx val="10"/>
        <c:spPr>
          <a:solidFill>
            <a:srgbClr val="39639D"/>
          </a:solidFill>
          <a:ln w="25400">
            <a:noFill/>
          </a:ln>
        </c:spPr>
        <c:marker>
          <c:symbol val="none"/>
        </c:marker>
        <c:dLbl>
          <c:idx val="0"/>
          <c:delete val="1"/>
          <c:extLst>
            <c:ext xmlns:c15="http://schemas.microsoft.com/office/drawing/2012/chart" uri="{CE6537A1-D6FC-4f65-9D91-7224C49458BB}"/>
          </c:extLst>
        </c:dLbl>
      </c:pivotFmt>
      <c:pivotFmt>
        <c:idx val="11"/>
        <c:spPr>
          <a:solidFill>
            <a:srgbClr val="474B78"/>
          </a:solidFill>
          <a:ln w="25400">
            <a:noFill/>
          </a:ln>
        </c:spPr>
        <c:marker>
          <c:symbol val="none"/>
        </c:marker>
        <c:dLbl>
          <c:idx val="0"/>
          <c:delete val="1"/>
          <c:extLst>
            <c:ext xmlns:c15="http://schemas.microsoft.com/office/drawing/2012/chart" uri="{CE6537A1-D6FC-4f65-9D91-7224C49458BB}"/>
          </c:extLst>
        </c:dLbl>
      </c:pivotFmt>
      <c:pivotFmt>
        <c:idx val="12"/>
        <c:spPr>
          <a:solidFill>
            <a:srgbClr val="7D3C4A"/>
          </a:solidFill>
          <a:ln w="25400">
            <a:noFill/>
          </a:ln>
        </c:spPr>
        <c:marker>
          <c:symbol val="none"/>
        </c:marker>
        <c:dLbl>
          <c:idx val="0"/>
          <c:delete val="1"/>
          <c:extLst>
            <c:ext xmlns:c15="http://schemas.microsoft.com/office/drawing/2012/chart" uri="{CE6537A1-D6FC-4f65-9D91-7224C49458BB}"/>
          </c:extLst>
        </c:dLbl>
      </c:pivotFmt>
      <c:pivotFmt>
        <c:idx val="13"/>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stacked"/>
        <c:varyColors val="0"/>
        <c:ser>
          <c:idx val="0"/>
          <c:order val="0"/>
          <c:tx>
            <c:strRef>
              <c:f>'Pivot Table Drill-down by Loan '!$D$5:$D$6</c:f>
              <c:strCache>
                <c:ptCount val="1"/>
                <c:pt idx="0">
                  <c:v>Consolidation</c:v>
                </c:pt>
              </c:strCache>
            </c:strRef>
          </c:tx>
          <c:spPr>
            <a:solidFill>
              <a:srgbClr val="2DA2BF"/>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'!$D$7:$D$57</c:f>
              <c:numCache>
                <c:formatCode>0.00</c:formatCode>
                <c:ptCount val="40"/>
                <c:pt idx="0">
                  <c:v>394.9</c:v>
                </c:pt>
                <c:pt idx="1">
                  <c:v>402.8</c:v>
                </c:pt>
                <c:pt idx="2">
                  <c:v>410.3</c:v>
                </c:pt>
                <c:pt idx="3">
                  <c:v>416.7</c:v>
                </c:pt>
                <c:pt idx="4">
                  <c:v>423.6</c:v>
                </c:pt>
                <c:pt idx="5">
                  <c:v>431.2</c:v>
                </c:pt>
                <c:pt idx="6">
                  <c:v>439.2</c:v>
                </c:pt>
                <c:pt idx="7">
                  <c:v>447.3</c:v>
                </c:pt>
                <c:pt idx="8">
                  <c:v>456.2</c:v>
                </c:pt>
                <c:pt idx="9">
                  <c:v>464.5</c:v>
                </c:pt>
                <c:pt idx="10">
                  <c:v>472.3</c:v>
                </c:pt>
                <c:pt idx="11">
                  <c:v>480.3</c:v>
                </c:pt>
                <c:pt idx="12">
                  <c:v>489</c:v>
                </c:pt>
                <c:pt idx="13">
                  <c:v>495.9</c:v>
                </c:pt>
                <c:pt idx="14">
                  <c:v>501.9</c:v>
                </c:pt>
                <c:pt idx="15">
                  <c:v>508</c:v>
                </c:pt>
                <c:pt idx="16">
                  <c:v>515.6</c:v>
                </c:pt>
                <c:pt idx="17">
                  <c:v>521.79999999999995</c:v>
                </c:pt>
                <c:pt idx="18">
                  <c:v>528.4</c:v>
                </c:pt>
                <c:pt idx="19">
                  <c:v>536.1</c:v>
                </c:pt>
                <c:pt idx="20">
                  <c:v>542.4</c:v>
                </c:pt>
                <c:pt idx="21">
                  <c:v>547.70000000000005</c:v>
                </c:pt>
                <c:pt idx="22">
                  <c:v>550.20000000000005</c:v>
                </c:pt>
                <c:pt idx="23">
                  <c:v>552.1</c:v>
                </c:pt>
                <c:pt idx="24">
                  <c:v>552.6</c:v>
                </c:pt>
                <c:pt idx="25">
                  <c:v>554.70000000000005</c:v>
                </c:pt>
                <c:pt idx="26">
                  <c:v>554.5</c:v>
                </c:pt>
                <c:pt idx="27">
                  <c:v>555.1</c:v>
                </c:pt>
                <c:pt idx="28">
                  <c:v>553.29999999999995</c:v>
                </c:pt>
                <c:pt idx="29">
                  <c:v>549.20000000000005</c:v>
                </c:pt>
                <c:pt idx="30">
                  <c:v>548.70000000000005</c:v>
                </c:pt>
                <c:pt idx="31">
                  <c:v>550.6</c:v>
                </c:pt>
                <c:pt idx="32">
                  <c:v>560.29999999999995</c:v>
                </c:pt>
                <c:pt idx="33">
                  <c:v>547.29999999999995</c:v>
                </c:pt>
                <c:pt idx="34">
                  <c:v>536.20000000000005</c:v>
                </c:pt>
                <c:pt idx="35">
                  <c:v>498.3</c:v>
                </c:pt>
                <c:pt idx="36">
                  <c:v>505.9</c:v>
                </c:pt>
                <c:pt idx="37">
                  <c:v>509.2</c:v>
                </c:pt>
                <c:pt idx="38">
                  <c:v>510.3</c:v>
                </c:pt>
                <c:pt idx="39">
                  <c:v>517.20000000000005</c:v>
                </c:pt>
              </c:numCache>
            </c:numRef>
          </c:val>
          <c:extLst>
            <c:ext xmlns:c16="http://schemas.microsoft.com/office/drawing/2014/chart" uri="{C3380CC4-5D6E-409C-BE32-E72D297353CC}">
              <c16:uniqueId val="{00000000-4A7B-46A1-A219-7F0D0A1DFAAE}"/>
            </c:ext>
          </c:extLst>
        </c:ser>
        <c:ser>
          <c:idx val="1"/>
          <c:order val="1"/>
          <c:tx>
            <c:strRef>
              <c:f>'Pivot Table Drill-down by Loan '!$E$5:$E$6</c:f>
              <c:strCache>
                <c:ptCount val="1"/>
                <c:pt idx="0">
                  <c:v>Grad PLUS</c:v>
                </c:pt>
              </c:strCache>
            </c:strRef>
          </c:tx>
          <c:spPr>
            <a:solidFill>
              <a:srgbClr val="DA1F28"/>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'!$E$7:$E$57</c:f>
              <c:numCache>
                <c:formatCode>0.00</c:formatCode>
                <c:ptCount val="40"/>
                <c:pt idx="0">
                  <c:v>40.9</c:v>
                </c:pt>
                <c:pt idx="1">
                  <c:v>43.4</c:v>
                </c:pt>
                <c:pt idx="2">
                  <c:v>44.1</c:v>
                </c:pt>
                <c:pt idx="3">
                  <c:v>46.8</c:v>
                </c:pt>
                <c:pt idx="4">
                  <c:v>46.6</c:v>
                </c:pt>
                <c:pt idx="5">
                  <c:v>49.4</c:v>
                </c:pt>
                <c:pt idx="6">
                  <c:v>50.2</c:v>
                </c:pt>
                <c:pt idx="7">
                  <c:v>53</c:v>
                </c:pt>
                <c:pt idx="8">
                  <c:v>52.8</c:v>
                </c:pt>
                <c:pt idx="9">
                  <c:v>55.7</c:v>
                </c:pt>
                <c:pt idx="10">
                  <c:v>56.6</c:v>
                </c:pt>
                <c:pt idx="11">
                  <c:v>59.7</c:v>
                </c:pt>
                <c:pt idx="12">
                  <c:v>59.6</c:v>
                </c:pt>
                <c:pt idx="13">
                  <c:v>62.8</c:v>
                </c:pt>
                <c:pt idx="14">
                  <c:v>63.9</c:v>
                </c:pt>
                <c:pt idx="15">
                  <c:v>67</c:v>
                </c:pt>
                <c:pt idx="16">
                  <c:v>71.3</c:v>
                </c:pt>
                <c:pt idx="17">
                  <c:v>70.7</c:v>
                </c:pt>
                <c:pt idx="18">
                  <c:v>71.900000000000006</c:v>
                </c:pt>
                <c:pt idx="19">
                  <c:v>75.2</c:v>
                </c:pt>
                <c:pt idx="20">
                  <c:v>75.3</c:v>
                </c:pt>
                <c:pt idx="21">
                  <c:v>78.8</c:v>
                </c:pt>
                <c:pt idx="22">
                  <c:v>79.5</c:v>
                </c:pt>
                <c:pt idx="23">
                  <c:v>82.8</c:v>
                </c:pt>
                <c:pt idx="24">
                  <c:v>82.7</c:v>
                </c:pt>
                <c:pt idx="25">
                  <c:v>86.3</c:v>
                </c:pt>
                <c:pt idx="26">
                  <c:v>87.3</c:v>
                </c:pt>
                <c:pt idx="27">
                  <c:v>90.7</c:v>
                </c:pt>
                <c:pt idx="28">
                  <c:v>90.6</c:v>
                </c:pt>
                <c:pt idx="29">
                  <c:v>94</c:v>
                </c:pt>
                <c:pt idx="30">
                  <c:v>94.9</c:v>
                </c:pt>
                <c:pt idx="31">
                  <c:v>97.9</c:v>
                </c:pt>
                <c:pt idx="32">
                  <c:v>96.7</c:v>
                </c:pt>
                <c:pt idx="33">
                  <c:v>100.7</c:v>
                </c:pt>
                <c:pt idx="34">
                  <c:v>101.9</c:v>
                </c:pt>
                <c:pt idx="35">
                  <c:v>104</c:v>
                </c:pt>
                <c:pt idx="36">
                  <c:v>103.4</c:v>
                </c:pt>
                <c:pt idx="37">
                  <c:v>107.5</c:v>
                </c:pt>
                <c:pt idx="38">
                  <c:v>107.7</c:v>
                </c:pt>
                <c:pt idx="39">
                  <c:v>112.1</c:v>
                </c:pt>
              </c:numCache>
            </c:numRef>
          </c:val>
          <c:extLst>
            <c:ext xmlns:c16="http://schemas.microsoft.com/office/drawing/2014/chart" uri="{C3380CC4-5D6E-409C-BE32-E72D297353CC}">
              <c16:uniqueId val="{00000001-4A7B-46A1-A219-7F0D0A1DFAAE}"/>
            </c:ext>
          </c:extLst>
        </c:ser>
        <c:ser>
          <c:idx val="2"/>
          <c:order val="2"/>
          <c:tx>
            <c:strRef>
              <c:f>'Pivot Table Drill-down by Loan '!$F$5:$F$6</c:f>
              <c:strCache>
                <c:ptCount val="1"/>
                <c:pt idx="0">
                  <c:v>Parent PLUS</c:v>
                </c:pt>
              </c:strCache>
            </c:strRef>
          </c:tx>
          <c:spPr>
            <a:solidFill>
              <a:srgbClr val="EB641B"/>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'!$F$7:$F$57</c:f>
              <c:numCache>
                <c:formatCode>0.00</c:formatCode>
                <c:ptCount val="40"/>
                <c:pt idx="0">
                  <c:v>65.099999999999994</c:v>
                </c:pt>
                <c:pt idx="1">
                  <c:v>68.7</c:v>
                </c:pt>
                <c:pt idx="2">
                  <c:v>68</c:v>
                </c:pt>
                <c:pt idx="3">
                  <c:v>71.099999999999994</c:v>
                </c:pt>
                <c:pt idx="4">
                  <c:v>71.099999999999994</c:v>
                </c:pt>
                <c:pt idx="5">
                  <c:v>75.2</c:v>
                </c:pt>
                <c:pt idx="6">
                  <c:v>74.5</c:v>
                </c:pt>
                <c:pt idx="7">
                  <c:v>77.8</c:v>
                </c:pt>
                <c:pt idx="8">
                  <c:v>77.5</c:v>
                </c:pt>
                <c:pt idx="9">
                  <c:v>81.5</c:v>
                </c:pt>
                <c:pt idx="10">
                  <c:v>80.5</c:v>
                </c:pt>
                <c:pt idx="11">
                  <c:v>83.9</c:v>
                </c:pt>
                <c:pt idx="12">
                  <c:v>83.7</c:v>
                </c:pt>
                <c:pt idx="13">
                  <c:v>87.7</c:v>
                </c:pt>
                <c:pt idx="14">
                  <c:v>86.7</c:v>
                </c:pt>
                <c:pt idx="15">
                  <c:v>89.9</c:v>
                </c:pt>
                <c:pt idx="16">
                  <c:v>89.8</c:v>
                </c:pt>
                <c:pt idx="17">
                  <c:v>93.9</c:v>
                </c:pt>
                <c:pt idx="18">
                  <c:v>92.9</c:v>
                </c:pt>
                <c:pt idx="19">
                  <c:v>96.1</c:v>
                </c:pt>
                <c:pt idx="20">
                  <c:v>95.6</c:v>
                </c:pt>
                <c:pt idx="21">
                  <c:v>99.4</c:v>
                </c:pt>
                <c:pt idx="22">
                  <c:v>98.3</c:v>
                </c:pt>
                <c:pt idx="23">
                  <c:v>100.8</c:v>
                </c:pt>
                <c:pt idx="24">
                  <c:v>100.3</c:v>
                </c:pt>
                <c:pt idx="25">
                  <c:v>103.6</c:v>
                </c:pt>
                <c:pt idx="26">
                  <c:v>102.8</c:v>
                </c:pt>
                <c:pt idx="27">
                  <c:v>105.4</c:v>
                </c:pt>
                <c:pt idx="28">
                  <c:v>104.8</c:v>
                </c:pt>
                <c:pt idx="29">
                  <c:v>107.3</c:v>
                </c:pt>
                <c:pt idx="30">
                  <c:v>106.3</c:v>
                </c:pt>
                <c:pt idx="31">
                  <c:v>108.5</c:v>
                </c:pt>
                <c:pt idx="32">
                  <c:v>107.6</c:v>
                </c:pt>
                <c:pt idx="33">
                  <c:v>111.7</c:v>
                </c:pt>
                <c:pt idx="34">
                  <c:v>111.3</c:v>
                </c:pt>
                <c:pt idx="35">
                  <c:v>112.2</c:v>
                </c:pt>
                <c:pt idx="36">
                  <c:v>107.2</c:v>
                </c:pt>
                <c:pt idx="37">
                  <c:v>109.8</c:v>
                </c:pt>
                <c:pt idx="38">
                  <c:v>107.1</c:v>
                </c:pt>
                <c:pt idx="39">
                  <c:v>110.3</c:v>
                </c:pt>
              </c:numCache>
            </c:numRef>
          </c:val>
          <c:extLst>
            <c:ext xmlns:c16="http://schemas.microsoft.com/office/drawing/2014/chart" uri="{C3380CC4-5D6E-409C-BE32-E72D297353CC}">
              <c16:uniqueId val="{00000002-4A7B-46A1-A219-7F0D0A1DFAAE}"/>
            </c:ext>
          </c:extLst>
        </c:ser>
        <c:ser>
          <c:idx val="3"/>
          <c:order val="3"/>
          <c:tx>
            <c:strRef>
              <c:f>'Pivot Table Drill-down by Loan '!$G$5:$G$6</c:f>
              <c:strCache>
                <c:ptCount val="1"/>
                <c:pt idx="0">
                  <c:v>Perkins</c:v>
                </c:pt>
              </c:strCache>
            </c:strRef>
          </c:tx>
          <c:spPr>
            <a:solidFill>
              <a:srgbClr val="39639D"/>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'!$G$7:$G$57</c:f>
              <c:numCache>
                <c:formatCode>0.00</c:formatCode>
                <c:ptCount val="40"/>
                <c:pt idx="0">
                  <c:v>8.1999999999999993</c:v>
                </c:pt>
                <c:pt idx="1">
                  <c:v>8.3000000000000007</c:v>
                </c:pt>
                <c:pt idx="2">
                  <c:v>8.1999999999999993</c:v>
                </c:pt>
                <c:pt idx="3">
                  <c:v>8.1</c:v>
                </c:pt>
                <c:pt idx="4">
                  <c:v>8.1</c:v>
                </c:pt>
                <c:pt idx="5">
                  <c:v>8.1999999999999993</c:v>
                </c:pt>
                <c:pt idx="6">
                  <c:v>8</c:v>
                </c:pt>
                <c:pt idx="7">
                  <c:v>7.9</c:v>
                </c:pt>
                <c:pt idx="8">
                  <c:v>7.9</c:v>
                </c:pt>
                <c:pt idx="9">
                  <c:v>7.9</c:v>
                </c:pt>
                <c:pt idx="10">
                  <c:v>7.8</c:v>
                </c:pt>
                <c:pt idx="11">
                  <c:v>7.6</c:v>
                </c:pt>
                <c:pt idx="12">
                  <c:v>7.6</c:v>
                </c:pt>
                <c:pt idx="13">
                  <c:v>7.6</c:v>
                </c:pt>
                <c:pt idx="14">
                  <c:v>7.4</c:v>
                </c:pt>
                <c:pt idx="15">
                  <c:v>7.1</c:v>
                </c:pt>
                <c:pt idx="16">
                  <c:v>6.9</c:v>
                </c:pt>
                <c:pt idx="17">
                  <c:v>6.6</c:v>
                </c:pt>
                <c:pt idx="18">
                  <c:v>6.3</c:v>
                </c:pt>
                <c:pt idx="19">
                  <c:v>6.1</c:v>
                </c:pt>
                <c:pt idx="20">
                  <c:v>5.9</c:v>
                </c:pt>
                <c:pt idx="21">
                  <c:v>5.6</c:v>
                </c:pt>
                <c:pt idx="22">
                  <c:v>5.4</c:v>
                </c:pt>
                <c:pt idx="23">
                  <c:v>5.2</c:v>
                </c:pt>
                <c:pt idx="24">
                  <c:v>4.9000000000000004</c:v>
                </c:pt>
                <c:pt idx="25">
                  <c:v>4.7</c:v>
                </c:pt>
                <c:pt idx="26">
                  <c:v>4.3</c:v>
                </c:pt>
                <c:pt idx="27">
                  <c:v>4.4000000000000004</c:v>
                </c:pt>
                <c:pt idx="28">
                  <c:v>4.2</c:v>
                </c:pt>
                <c:pt idx="29">
                  <c:v>4.2</c:v>
                </c:pt>
                <c:pt idx="30">
                  <c:v>4</c:v>
                </c:pt>
                <c:pt idx="31">
                  <c:v>3.9</c:v>
                </c:pt>
                <c:pt idx="32">
                  <c:v>3.8</c:v>
                </c:pt>
                <c:pt idx="33">
                  <c:v>3.7</c:v>
                </c:pt>
                <c:pt idx="34">
                  <c:v>3.7</c:v>
                </c:pt>
                <c:pt idx="35">
                  <c:v>3.6</c:v>
                </c:pt>
                <c:pt idx="36">
                  <c:v>3.5</c:v>
                </c:pt>
                <c:pt idx="37">
                  <c:v>3.4</c:v>
                </c:pt>
                <c:pt idx="38">
                  <c:v>3.3</c:v>
                </c:pt>
                <c:pt idx="39">
                  <c:v>3.2</c:v>
                </c:pt>
              </c:numCache>
            </c:numRef>
          </c:val>
          <c:extLst>
            <c:ext xmlns:c16="http://schemas.microsoft.com/office/drawing/2014/chart" uri="{C3380CC4-5D6E-409C-BE32-E72D297353CC}">
              <c16:uniqueId val="{00000003-4A7B-46A1-A219-7F0D0A1DFAAE}"/>
            </c:ext>
          </c:extLst>
        </c:ser>
        <c:ser>
          <c:idx val="4"/>
          <c:order val="4"/>
          <c:tx>
            <c:strRef>
              <c:f>'Pivot Table Drill-down by Loan '!$H$5:$H$6</c:f>
              <c:strCache>
                <c:ptCount val="1"/>
                <c:pt idx="0">
                  <c:v>Stafford (Combined)</c:v>
                </c:pt>
              </c:strCache>
            </c:strRef>
          </c:tx>
          <c:spPr>
            <a:solidFill>
              <a:srgbClr val="474B78"/>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'!$H$7:$H$57</c:f>
              <c:numCache>
                <c:formatCode>0.00</c:formatCode>
                <c:ptCount val="40"/>
                <c:pt idx="0">
                  <c:v>630.9</c:v>
                </c:pt>
                <c:pt idx="1">
                  <c:v>651.29999999999995</c:v>
                </c:pt>
                <c:pt idx="2">
                  <c:v>651.6</c:v>
                </c:pt>
                <c:pt idx="3">
                  <c:v>669.7</c:v>
                </c:pt>
                <c:pt idx="4">
                  <c:v>670.7</c:v>
                </c:pt>
                <c:pt idx="5">
                  <c:v>690.8</c:v>
                </c:pt>
                <c:pt idx="6">
                  <c:v>690.3</c:v>
                </c:pt>
                <c:pt idx="7">
                  <c:v>706.2</c:v>
                </c:pt>
                <c:pt idx="8">
                  <c:v>705.3</c:v>
                </c:pt>
                <c:pt idx="9">
                  <c:v>722.2</c:v>
                </c:pt>
                <c:pt idx="10">
                  <c:v>720.2</c:v>
                </c:pt>
                <c:pt idx="11">
                  <c:v>735.5</c:v>
                </c:pt>
                <c:pt idx="12">
                  <c:v>735.5</c:v>
                </c:pt>
                <c:pt idx="13">
                  <c:v>753</c:v>
                </c:pt>
                <c:pt idx="14">
                  <c:v>752.1</c:v>
                </c:pt>
                <c:pt idx="15">
                  <c:v>767.1</c:v>
                </c:pt>
                <c:pt idx="16">
                  <c:v>767.7</c:v>
                </c:pt>
                <c:pt idx="17">
                  <c:v>783.5</c:v>
                </c:pt>
                <c:pt idx="18">
                  <c:v>781.6</c:v>
                </c:pt>
                <c:pt idx="19">
                  <c:v>796.7</c:v>
                </c:pt>
                <c:pt idx="20">
                  <c:v>795.8</c:v>
                </c:pt>
                <c:pt idx="21">
                  <c:v>811.4</c:v>
                </c:pt>
                <c:pt idx="22">
                  <c:v>811.4</c:v>
                </c:pt>
                <c:pt idx="23">
                  <c:v>825.5</c:v>
                </c:pt>
                <c:pt idx="24">
                  <c:v>824.6</c:v>
                </c:pt>
                <c:pt idx="25">
                  <c:v>842.5</c:v>
                </c:pt>
                <c:pt idx="26">
                  <c:v>842.2</c:v>
                </c:pt>
                <c:pt idx="27">
                  <c:v>855</c:v>
                </c:pt>
                <c:pt idx="28">
                  <c:v>853.4</c:v>
                </c:pt>
                <c:pt idx="29">
                  <c:v>864.9</c:v>
                </c:pt>
                <c:pt idx="30">
                  <c:v>863.3</c:v>
                </c:pt>
                <c:pt idx="31">
                  <c:v>873.6</c:v>
                </c:pt>
                <c:pt idx="32">
                  <c:v>867.1</c:v>
                </c:pt>
                <c:pt idx="33">
                  <c:v>881.1</c:v>
                </c:pt>
                <c:pt idx="34">
                  <c:v>880.8</c:v>
                </c:pt>
                <c:pt idx="35">
                  <c:v>884.1</c:v>
                </c:pt>
                <c:pt idx="36">
                  <c:v>878.5</c:v>
                </c:pt>
                <c:pt idx="37">
                  <c:v>890.3</c:v>
                </c:pt>
                <c:pt idx="38">
                  <c:v>882.6</c:v>
                </c:pt>
                <c:pt idx="39">
                  <c:v>895.9</c:v>
                </c:pt>
              </c:numCache>
            </c:numRef>
          </c:val>
          <c:extLst>
            <c:ext xmlns:c16="http://schemas.microsoft.com/office/drawing/2014/chart" uri="{C3380CC4-5D6E-409C-BE32-E72D297353CC}">
              <c16:uniqueId val="{00000004-4A7B-46A1-A219-7F0D0A1DFAAE}"/>
            </c:ext>
          </c:extLst>
        </c:ser>
        <c:ser>
          <c:idx val="5"/>
          <c:order val="5"/>
          <c:tx>
            <c:strRef>
              <c:f>'Pivot Table Drill-down by Loan '!$I$5:$I$6</c:f>
              <c:strCache>
                <c:ptCount val="1"/>
                <c:pt idx="0">
                  <c:v>Stafford Subsidized </c:v>
                </c:pt>
              </c:strCache>
            </c:strRef>
          </c:tx>
          <c:spPr>
            <a:solidFill>
              <a:srgbClr val="7D3C4A"/>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'!$I$7:$I$57</c:f>
              <c:numCache>
                <c:formatCode>0.00</c:formatCode>
                <c:ptCount val="40"/>
                <c:pt idx="0">
                  <c:v>258</c:v>
                </c:pt>
                <c:pt idx="1">
                  <c:v>262.89999999999998</c:v>
                </c:pt>
                <c:pt idx="2">
                  <c:v>260.7</c:v>
                </c:pt>
                <c:pt idx="3">
                  <c:v>264.8</c:v>
                </c:pt>
                <c:pt idx="4">
                  <c:v>264.10000000000002</c:v>
                </c:pt>
                <c:pt idx="5">
                  <c:v>269</c:v>
                </c:pt>
                <c:pt idx="6">
                  <c:v>266.7</c:v>
                </c:pt>
                <c:pt idx="7">
                  <c:v>270.10000000000002</c:v>
                </c:pt>
                <c:pt idx="8">
                  <c:v>268.8</c:v>
                </c:pt>
                <c:pt idx="9">
                  <c:v>272.5</c:v>
                </c:pt>
                <c:pt idx="10">
                  <c:v>269.89999999999998</c:v>
                </c:pt>
                <c:pt idx="11">
                  <c:v>273.10000000000002</c:v>
                </c:pt>
                <c:pt idx="12">
                  <c:v>272.2</c:v>
                </c:pt>
                <c:pt idx="13">
                  <c:v>276.39999999999998</c:v>
                </c:pt>
                <c:pt idx="14">
                  <c:v>274.2</c:v>
                </c:pt>
                <c:pt idx="15">
                  <c:v>277.5</c:v>
                </c:pt>
                <c:pt idx="16">
                  <c:v>276.8</c:v>
                </c:pt>
                <c:pt idx="17">
                  <c:v>280</c:v>
                </c:pt>
                <c:pt idx="18">
                  <c:v>277.39999999999998</c:v>
                </c:pt>
                <c:pt idx="19">
                  <c:v>280.7</c:v>
                </c:pt>
                <c:pt idx="20">
                  <c:v>279.60000000000002</c:v>
                </c:pt>
                <c:pt idx="21">
                  <c:v>282.89999999999998</c:v>
                </c:pt>
                <c:pt idx="22">
                  <c:v>282.3</c:v>
                </c:pt>
                <c:pt idx="23">
                  <c:v>285.7</c:v>
                </c:pt>
                <c:pt idx="24">
                  <c:v>285.2</c:v>
                </c:pt>
                <c:pt idx="25">
                  <c:v>289.8</c:v>
                </c:pt>
                <c:pt idx="26">
                  <c:v>288.7</c:v>
                </c:pt>
                <c:pt idx="27">
                  <c:v>291.5</c:v>
                </c:pt>
                <c:pt idx="28">
                  <c:v>290.89999999999998</c:v>
                </c:pt>
                <c:pt idx="29">
                  <c:v>293.10000000000002</c:v>
                </c:pt>
                <c:pt idx="30">
                  <c:v>291.89999999999998</c:v>
                </c:pt>
                <c:pt idx="31">
                  <c:v>294.3</c:v>
                </c:pt>
                <c:pt idx="32">
                  <c:v>293</c:v>
                </c:pt>
                <c:pt idx="33">
                  <c:v>296.2</c:v>
                </c:pt>
                <c:pt idx="34">
                  <c:v>295.39999999999998</c:v>
                </c:pt>
                <c:pt idx="35">
                  <c:v>295.60000000000002</c:v>
                </c:pt>
                <c:pt idx="36">
                  <c:v>293.3</c:v>
                </c:pt>
                <c:pt idx="37">
                  <c:v>295.39999999999998</c:v>
                </c:pt>
                <c:pt idx="38">
                  <c:v>291.8</c:v>
                </c:pt>
                <c:pt idx="39">
                  <c:v>294.39999999999998</c:v>
                </c:pt>
              </c:numCache>
            </c:numRef>
          </c:val>
          <c:extLst>
            <c:ext xmlns:c16="http://schemas.microsoft.com/office/drawing/2014/chart" uri="{C3380CC4-5D6E-409C-BE32-E72D297353CC}">
              <c16:uniqueId val="{00000005-4A7B-46A1-A219-7F0D0A1DFAAE}"/>
            </c:ext>
          </c:extLst>
        </c:ser>
        <c:ser>
          <c:idx val="6"/>
          <c:order val="6"/>
          <c:tx>
            <c:strRef>
              <c:f>'Pivot Table Drill-down by Loan '!$J$5:$J$6</c:f>
              <c:strCache>
                <c:ptCount val="1"/>
                <c:pt idx="0">
                  <c:v>Stafford Unsubsidized</c:v>
                </c:pt>
              </c:strCache>
            </c:strRef>
          </c:tx>
          <c:spPr>
            <a:solidFill>
              <a:schemeClr val="accent1">
                <a:lumMod val="60000"/>
              </a:schemeClr>
            </a:solidFill>
            <a:ln>
              <a:noFill/>
            </a:ln>
            <a:effectLst/>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'!$J$7:$J$57</c:f>
              <c:numCache>
                <c:formatCode>0.00</c:formatCode>
                <c:ptCount val="40"/>
                <c:pt idx="0">
                  <c:v>373</c:v>
                </c:pt>
                <c:pt idx="1">
                  <c:v>388.4</c:v>
                </c:pt>
                <c:pt idx="2">
                  <c:v>390.8</c:v>
                </c:pt>
                <c:pt idx="3">
                  <c:v>404.9</c:v>
                </c:pt>
                <c:pt idx="4">
                  <c:v>406.6</c:v>
                </c:pt>
                <c:pt idx="5">
                  <c:v>421.8</c:v>
                </c:pt>
                <c:pt idx="6">
                  <c:v>423.5</c:v>
                </c:pt>
                <c:pt idx="7">
                  <c:v>436.1</c:v>
                </c:pt>
                <c:pt idx="8">
                  <c:v>436.5</c:v>
                </c:pt>
                <c:pt idx="9">
                  <c:v>449.6</c:v>
                </c:pt>
                <c:pt idx="10">
                  <c:v>450.3</c:v>
                </c:pt>
                <c:pt idx="11">
                  <c:v>462.4</c:v>
                </c:pt>
                <c:pt idx="12">
                  <c:v>463.3</c:v>
                </c:pt>
                <c:pt idx="13">
                  <c:v>476.6</c:v>
                </c:pt>
                <c:pt idx="14">
                  <c:v>477.8</c:v>
                </c:pt>
                <c:pt idx="15">
                  <c:v>489.6</c:v>
                </c:pt>
                <c:pt idx="16">
                  <c:v>490.9</c:v>
                </c:pt>
                <c:pt idx="17">
                  <c:v>503.5</c:v>
                </c:pt>
                <c:pt idx="18">
                  <c:v>504.2</c:v>
                </c:pt>
                <c:pt idx="19">
                  <c:v>516</c:v>
                </c:pt>
                <c:pt idx="20">
                  <c:v>516.29999999999995</c:v>
                </c:pt>
                <c:pt idx="21">
                  <c:v>528.5</c:v>
                </c:pt>
                <c:pt idx="22">
                  <c:v>529.1</c:v>
                </c:pt>
                <c:pt idx="23">
                  <c:v>539.79999999999995</c:v>
                </c:pt>
                <c:pt idx="24">
                  <c:v>539.4</c:v>
                </c:pt>
                <c:pt idx="25">
                  <c:v>552.70000000000005</c:v>
                </c:pt>
                <c:pt idx="26">
                  <c:v>553.5</c:v>
                </c:pt>
                <c:pt idx="27">
                  <c:v>563.5</c:v>
                </c:pt>
                <c:pt idx="28">
                  <c:v>562.5</c:v>
                </c:pt>
                <c:pt idx="29">
                  <c:v>571.9</c:v>
                </c:pt>
                <c:pt idx="30">
                  <c:v>571.5</c:v>
                </c:pt>
                <c:pt idx="31">
                  <c:v>579.29999999999995</c:v>
                </c:pt>
                <c:pt idx="32">
                  <c:v>574.1</c:v>
                </c:pt>
                <c:pt idx="33">
                  <c:v>584.9</c:v>
                </c:pt>
                <c:pt idx="34">
                  <c:v>585.4</c:v>
                </c:pt>
                <c:pt idx="35">
                  <c:v>588.5</c:v>
                </c:pt>
                <c:pt idx="36">
                  <c:v>585.20000000000005</c:v>
                </c:pt>
                <c:pt idx="37">
                  <c:v>594.9</c:v>
                </c:pt>
                <c:pt idx="38">
                  <c:v>590.79999999999995</c:v>
                </c:pt>
                <c:pt idx="39">
                  <c:v>601.5</c:v>
                </c:pt>
              </c:numCache>
            </c:numRef>
          </c:val>
          <c:extLst>
            <c:ext xmlns:c16="http://schemas.microsoft.com/office/drawing/2014/chart" uri="{C3380CC4-5D6E-409C-BE32-E72D297353CC}">
              <c16:uniqueId val="{00000006-4A7B-46A1-A219-7F0D0A1DFAAE}"/>
            </c:ext>
          </c:extLst>
        </c:ser>
        <c:dLbls>
          <c:showLegendKey val="0"/>
          <c:showVal val="0"/>
          <c:showCatName val="0"/>
          <c:showSerName val="0"/>
          <c:showPercent val="0"/>
          <c:showBubbleSize val="0"/>
        </c:dLbls>
        <c:gapWidth val="150"/>
        <c:overlap val="100"/>
        <c:axId val="1004691216"/>
        <c:axId val="1"/>
      </c:barChart>
      <c:catAx>
        <c:axId val="1004691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69121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Loan types by recipients</a:t>
            </a:r>
          </a:p>
        </c:rich>
      </c:tx>
      <c:overlay val="0"/>
      <c:spPr>
        <a:noFill/>
        <a:ln w="25400">
          <a:noFill/>
        </a:ln>
      </c:spPr>
    </c:title>
    <c:autoTitleDeleted val="0"/>
    <c:plotArea>
      <c:layout/>
      <c:barChart>
        <c:barDir val="col"/>
        <c:grouping val="clustered"/>
        <c:varyColors val="0"/>
        <c:ser>
          <c:idx val="1"/>
          <c:order val="0"/>
          <c:tx>
            <c:strRef>
              <c:f>'Time Series Analysis'!$D$5</c:f>
              <c:strCache>
                <c:ptCount val="1"/>
                <c:pt idx="0">
                  <c:v>Stafford Subsidized - Recipients</c:v>
                </c:pt>
              </c:strCache>
            </c:strRef>
          </c:tx>
          <c:spPr>
            <a:solidFill>
              <a:srgbClr val="DA1F28"/>
            </a:solidFill>
            <a:ln w="25400">
              <a:noFill/>
            </a:ln>
          </c:spPr>
          <c:invertIfNegative val="0"/>
          <c:cat>
            <c:multiLvlStrRef>
              <c:f>'Time Series Analysis'!$B$6:$C$45</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Analysis'!$D$6:$D$45</c:f>
              <c:numCache>
                <c:formatCode>0.0</c:formatCode>
                <c:ptCount val="40"/>
                <c:pt idx="0">
                  <c:v>28.9</c:v>
                </c:pt>
                <c:pt idx="1">
                  <c:v>28.8</c:v>
                </c:pt>
                <c:pt idx="2">
                  <c:v>28.5</c:v>
                </c:pt>
                <c:pt idx="3">
                  <c:v>29.1</c:v>
                </c:pt>
                <c:pt idx="4">
                  <c:v>29.3</c:v>
                </c:pt>
                <c:pt idx="5">
                  <c:v>29.2</c:v>
                </c:pt>
                <c:pt idx="6">
                  <c:v>28.9</c:v>
                </c:pt>
                <c:pt idx="7">
                  <c:v>29.5</c:v>
                </c:pt>
                <c:pt idx="8">
                  <c:v>29.6</c:v>
                </c:pt>
                <c:pt idx="9">
                  <c:v>29.4</c:v>
                </c:pt>
                <c:pt idx="10">
                  <c:v>29</c:v>
                </c:pt>
                <c:pt idx="11">
                  <c:v>29.5</c:v>
                </c:pt>
                <c:pt idx="12">
                  <c:v>29.6</c:v>
                </c:pt>
                <c:pt idx="13">
                  <c:v>29.5</c:v>
                </c:pt>
                <c:pt idx="14">
                  <c:v>29.1</c:v>
                </c:pt>
                <c:pt idx="15">
                  <c:v>29.6</c:v>
                </c:pt>
                <c:pt idx="16">
                  <c:v>29.7</c:v>
                </c:pt>
                <c:pt idx="17">
                  <c:v>29.5</c:v>
                </c:pt>
                <c:pt idx="18">
                  <c:v>29.1</c:v>
                </c:pt>
                <c:pt idx="19">
                  <c:v>29.5</c:v>
                </c:pt>
                <c:pt idx="20">
                  <c:v>29.6</c:v>
                </c:pt>
                <c:pt idx="21">
                  <c:v>29.4</c:v>
                </c:pt>
                <c:pt idx="22" formatCode="#,##0.0">
                  <c:v>29.1</c:v>
                </c:pt>
                <c:pt idx="23" formatCode="#,##0.0">
                  <c:v>29.6</c:v>
                </c:pt>
                <c:pt idx="24" formatCode="#,##0.0">
                  <c:v>29.6</c:v>
                </c:pt>
                <c:pt idx="25">
                  <c:v>29.6</c:v>
                </c:pt>
                <c:pt idx="26">
                  <c:v>29.5</c:v>
                </c:pt>
                <c:pt idx="27" formatCode="#,##0.0">
                  <c:v>30</c:v>
                </c:pt>
                <c:pt idx="28" formatCode="#,##0.0">
                  <c:v>30.1</c:v>
                </c:pt>
                <c:pt idx="29" formatCode="#,##0.0">
                  <c:v>29.8</c:v>
                </c:pt>
                <c:pt idx="30" formatCode="#,##0.0">
                  <c:v>29.7</c:v>
                </c:pt>
                <c:pt idx="31" formatCode="#,##0.0">
                  <c:v>30.2</c:v>
                </c:pt>
                <c:pt idx="32" formatCode="#,##0.0">
                  <c:v>30.4</c:v>
                </c:pt>
                <c:pt idx="33" formatCode="#,##0.0">
                  <c:v>30.3</c:v>
                </c:pt>
                <c:pt idx="34" formatCode="#,##0.0">
                  <c:v>30.3</c:v>
                </c:pt>
                <c:pt idx="35" formatCode="#,##0.0">
                  <c:v>30.6</c:v>
                </c:pt>
                <c:pt idx="36" formatCode="#,##0.0">
                  <c:v>30.5</c:v>
                </c:pt>
                <c:pt idx="37" formatCode="#,##0.0">
                  <c:v>30.2</c:v>
                </c:pt>
                <c:pt idx="38" formatCode="#,##0.0">
                  <c:v>29.8</c:v>
                </c:pt>
                <c:pt idx="39" formatCode="#,##0.0">
                  <c:v>30.2</c:v>
                </c:pt>
              </c:numCache>
            </c:numRef>
          </c:val>
          <c:extLst>
            <c:ext xmlns:c16="http://schemas.microsoft.com/office/drawing/2014/chart" uri="{C3380CC4-5D6E-409C-BE32-E72D297353CC}">
              <c16:uniqueId val="{00000000-56E0-43AF-8BD9-80B430B5E8AC}"/>
            </c:ext>
          </c:extLst>
        </c:ser>
        <c:ser>
          <c:idx val="0"/>
          <c:order val="1"/>
          <c:tx>
            <c:strRef>
              <c:f>'Time Series Analysis'!$G$5</c:f>
              <c:strCache>
                <c:ptCount val="1"/>
                <c:pt idx="0">
                  <c:v>Stafford Unsubsidized - Recipients</c:v>
                </c:pt>
              </c:strCache>
            </c:strRef>
          </c:tx>
          <c:invertIfNegative val="0"/>
          <c:cat>
            <c:multiLvlStrRef>
              <c:f>'Time Series Analysis'!$B$6:$C$45</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Analysis'!$G$6:$G$45</c:f>
              <c:numCache>
                <c:formatCode>0.0</c:formatCode>
                <c:ptCount val="40"/>
                <c:pt idx="0">
                  <c:v>26.6</c:v>
                </c:pt>
                <c:pt idx="1">
                  <c:v>26.5</c:v>
                </c:pt>
                <c:pt idx="2">
                  <c:v>26.4</c:v>
                </c:pt>
                <c:pt idx="3">
                  <c:v>27.1</c:v>
                </c:pt>
                <c:pt idx="4">
                  <c:v>27.3</c:v>
                </c:pt>
                <c:pt idx="5">
                  <c:v>27.3</c:v>
                </c:pt>
                <c:pt idx="6">
                  <c:v>27.1</c:v>
                </c:pt>
                <c:pt idx="7">
                  <c:v>27.8</c:v>
                </c:pt>
                <c:pt idx="8">
                  <c:v>28</c:v>
                </c:pt>
                <c:pt idx="9">
                  <c:v>27.9</c:v>
                </c:pt>
                <c:pt idx="10">
                  <c:v>27.6</c:v>
                </c:pt>
                <c:pt idx="11">
                  <c:v>28.3</c:v>
                </c:pt>
                <c:pt idx="12">
                  <c:v>28.4</c:v>
                </c:pt>
                <c:pt idx="13">
                  <c:v>28.3</c:v>
                </c:pt>
                <c:pt idx="14">
                  <c:v>28</c:v>
                </c:pt>
                <c:pt idx="15">
                  <c:v>28.7</c:v>
                </c:pt>
                <c:pt idx="16">
                  <c:v>28.8</c:v>
                </c:pt>
                <c:pt idx="17">
                  <c:v>28.7</c:v>
                </c:pt>
                <c:pt idx="18">
                  <c:v>28.3</c:v>
                </c:pt>
                <c:pt idx="19">
                  <c:v>28.9</c:v>
                </c:pt>
                <c:pt idx="20">
                  <c:v>28.9</c:v>
                </c:pt>
                <c:pt idx="21">
                  <c:v>28.8</c:v>
                </c:pt>
                <c:pt idx="22">
                  <c:v>28.6</c:v>
                </c:pt>
                <c:pt idx="23">
                  <c:v>29.2</c:v>
                </c:pt>
                <c:pt idx="24">
                  <c:v>29.3</c:v>
                </c:pt>
                <c:pt idx="25">
                  <c:v>29.4</c:v>
                </c:pt>
                <c:pt idx="26">
                  <c:v>29.3</c:v>
                </c:pt>
                <c:pt idx="27">
                  <c:v>30</c:v>
                </c:pt>
                <c:pt idx="28">
                  <c:v>30.1</c:v>
                </c:pt>
                <c:pt idx="29">
                  <c:v>29.9</c:v>
                </c:pt>
                <c:pt idx="30">
                  <c:v>29.8</c:v>
                </c:pt>
                <c:pt idx="31">
                  <c:v>30.5</c:v>
                </c:pt>
                <c:pt idx="32">
                  <c:v>30.7</c:v>
                </c:pt>
                <c:pt idx="33">
                  <c:v>30.7</c:v>
                </c:pt>
                <c:pt idx="34">
                  <c:v>30.7</c:v>
                </c:pt>
                <c:pt idx="35">
                  <c:v>31.1</c:v>
                </c:pt>
                <c:pt idx="36">
                  <c:v>31</c:v>
                </c:pt>
                <c:pt idx="37">
                  <c:v>30.7</c:v>
                </c:pt>
                <c:pt idx="38">
                  <c:v>30.4</c:v>
                </c:pt>
                <c:pt idx="39">
                  <c:v>30.9</c:v>
                </c:pt>
              </c:numCache>
            </c:numRef>
          </c:val>
          <c:extLst>
            <c:ext xmlns:c16="http://schemas.microsoft.com/office/drawing/2014/chart" uri="{C3380CC4-5D6E-409C-BE32-E72D297353CC}">
              <c16:uniqueId val="{00000001-56E0-43AF-8BD9-80B430B5E8AC}"/>
            </c:ext>
          </c:extLst>
        </c:ser>
        <c:ser>
          <c:idx val="2"/>
          <c:order val="2"/>
          <c:tx>
            <c:strRef>
              <c:f>'Time Series Analysis'!$J$5</c:f>
              <c:strCache>
                <c:ptCount val="1"/>
                <c:pt idx="0">
                  <c:v>Stafford (Combined)  - Recipients</c:v>
                </c:pt>
              </c:strCache>
            </c:strRef>
          </c:tx>
          <c:invertIfNegative val="0"/>
          <c:trendline>
            <c:trendlineType val="movingAvg"/>
            <c:period val="2"/>
            <c:dispRSqr val="0"/>
            <c:dispEq val="0"/>
          </c:trendline>
          <c:cat>
            <c:multiLvlStrRef>
              <c:f>'Time Series Analysis'!$B$6:$C$45</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Analysis'!$J$6:$J$45</c:f>
              <c:numCache>
                <c:formatCode>General</c:formatCode>
                <c:ptCount val="40"/>
                <c:pt idx="0">
                  <c:v>31.7</c:v>
                </c:pt>
                <c:pt idx="1">
                  <c:v>31.5</c:v>
                </c:pt>
                <c:pt idx="2">
                  <c:v>31.3</c:v>
                </c:pt>
                <c:pt idx="3">
                  <c:v>32.1</c:v>
                </c:pt>
                <c:pt idx="4">
                  <c:v>32.200000000000003</c:v>
                </c:pt>
                <c:pt idx="5">
                  <c:v>32.1</c:v>
                </c:pt>
                <c:pt idx="6">
                  <c:v>31.9</c:v>
                </c:pt>
                <c:pt idx="7">
                  <c:v>32.6</c:v>
                </c:pt>
                <c:pt idx="8">
                  <c:v>32.799999999999997</c:v>
                </c:pt>
                <c:pt idx="9">
                  <c:v>32.6</c:v>
                </c:pt>
                <c:pt idx="10">
                  <c:v>32.200000000000003</c:v>
                </c:pt>
                <c:pt idx="11">
                  <c:v>32.9</c:v>
                </c:pt>
                <c:pt idx="12" formatCode="0.0">
                  <c:v>33</c:v>
                </c:pt>
                <c:pt idx="13" formatCode="0.0">
                  <c:v>32.9</c:v>
                </c:pt>
                <c:pt idx="14" formatCode="0.0">
                  <c:v>32.5</c:v>
                </c:pt>
                <c:pt idx="15" formatCode="0.0">
                  <c:v>33.1</c:v>
                </c:pt>
                <c:pt idx="16" formatCode="0.0">
                  <c:v>33.299999999999997</c:v>
                </c:pt>
                <c:pt idx="17" formatCode="0.0">
                  <c:v>33.1</c:v>
                </c:pt>
                <c:pt idx="18" formatCode="0.0">
                  <c:v>32.6</c:v>
                </c:pt>
                <c:pt idx="19" formatCode="0.0">
                  <c:v>33.200000000000003</c:v>
                </c:pt>
                <c:pt idx="20" formatCode="0.0">
                  <c:v>33.200000000000003</c:v>
                </c:pt>
                <c:pt idx="21" formatCode="0.0">
                  <c:v>33</c:v>
                </c:pt>
                <c:pt idx="22" formatCode="#,##0.0">
                  <c:v>32.799999999999997</c:v>
                </c:pt>
                <c:pt idx="23" formatCode="#,##0.0">
                  <c:v>33.4</c:v>
                </c:pt>
                <c:pt idx="24" formatCode="#,##0.0">
                  <c:v>33.5</c:v>
                </c:pt>
                <c:pt idx="25" formatCode="0.0">
                  <c:v>33.6</c:v>
                </c:pt>
                <c:pt idx="26" formatCode="#,##0.0">
                  <c:v>33.5</c:v>
                </c:pt>
                <c:pt idx="27" formatCode="#,##0.0">
                  <c:v>34.200000000000003</c:v>
                </c:pt>
                <c:pt idx="28" formatCode="#,##0.0">
                  <c:v>34.299999999999997</c:v>
                </c:pt>
                <c:pt idx="29" formatCode="#,##0.0">
                  <c:v>34</c:v>
                </c:pt>
                <c:pt idx="30" formatCode="#,##0.0">
                  <c:v>33.9</c:v>
                </c:pt>
                <c:pt idx="31" formatCode="#,##0.0">
                  <c:v>34.6</c:v>
                </c:pt>
                <c:pt idx="32" formatCode="#,##0.0">
                  <c:v>34.799999999999997</c:v>
                </c:pt>
                <c:pt idx="33" formatCode="#,##0.0">
                  <c:v>34.9</c:v>
                </c:pt>
                <c:pt idx="34" formatCode="#,##0.0">
                  <c:v>34.799999999999997</c:v>
                </c:pt>
                <c:pt idx="35" formatCode="#,##0.0">
                  <c:v>35.200000000000003</c:v>
                </c:pt>
                <c:pt idx="36" formatCode="#,##0.0">
                  <c:v>35.1</c:v>
                </c:pt>
                <c:pt idx="37" formatCode="#,##0.0">
                  <c:v>34.799999999999997</c:v>
                </c:pt>
                <c:pt idx="38" formatCode="#,##0.0">
                  <c:v>34.4</c:v>
                </c:pt>
                <c:pt idx="39" formatCode="#,##0.0">
                  <c:v>34.9</c:v>
                </c:pt>
              </c:numCache>
            </c:numRef>
          </c:val>
          <c:extLst>
            <c:ext xmlns:c16="http://schemas.microsoft.com/office/drawing/2014/chart" uri="{C3380CC4-5D6E-409C-BE32-E72D297353CC}">
              <c16:uniqueId val="{00000003-56E0-43AF-8BD9-80B430B5E8AC}"/>
            </c:ext>
          </c:extLst>
        </c:ser>
        <c:ser>
          <c:idx val="3"/>
          <c:order val="3"/>
          <c:tx>
            <c:strRef>
              <c:f>'Time Series Analysis'!$M$5</c:f>
              <c:strCache>
                <c:ptCount val="1"/>
                <c:pt idx="0">
                  <c:v>Grad PLUS  - Recipients</c:v>
                </c:pt>
              </c:strCache>
            </c:strRef>
          </c:tx>
          <c:invertIfNegative val="0"/>
          <c:cat>
            <c:multiLvlStrRef>
              <c:f>'Time Series Analysis'!$B$6:$C$45</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Analysis'!$M$6:$M$45</c:f>
              <c:numCache>
                <c:formatCode>0.0</c:formatCode>
                <c:ptCount val="40"/>
                <c:pt idx="0">
                  <c:v>1</c:v>
                </c:pt>
                <c:pt idx="1">
                  <c:v>1</c:v>
                </c:pt>
                <c:pt idx="2">
                  <c:v>1</c:v>
                </c:pt>
                <c:pt idx="3">
                  <c:v>1</c:v>
                </c:pt>
                <c:pt idx="4">
                  <c:v>1</c:v>
                </c:pt>
                <c:pt idx="5">
                  <c:v>1</c:v>
                </c:pt>
                <c:pt idx="6">
                  <c:v>1</c:v>
                </c:pt>
                <c:pt idx="7">
                  <c:v>1.1000000000000001</c:v>
                </c:pt>
                <c:pt idx="8">
                  <c:v>1.1000000000000001</c:v>
                </c:pt>
                <c:pt idx="9">
                  <c:v>1.1000000000000001</c:v>
                </c:pt>
                <c:pt idx="10">
                  <c:v>1.1000000000000001</c:v>
                </c:pt>
                <c:pt idx="11">
                  <c:v>1.2</c:v>
                </c:pt>
                <c:pt idx="12">
                  <c:v>1.2</c:v>
                </c:pt>
                <c:pt idx="13">
                  <c:v>1.2</c:v>
                </c:pt>
                <c:pt idx="14">
                  <c:v>1.2</c:v>
                </c:pt>
                <c:pt idx="15">
                  <c:v>1.3</c:v>
                </c:pt>
                <c:pt idx="16">
                  <c:v>1.5</c:v>
                </c:pt>
                <c:pt idx="17">
                  <c:v>1.3</c:v>
                </c:pt>
                <c:pt idx="18">
                  <c:v>1.3</c:v>
                </c:pt>
                <c:pt idx="19">
                  <c:v>1.4</c:v>
                </c:pt>
                <c:pt idx="20">
                  <c:v>1.4</c:v>
                </c:pt>
                <c:pt idx="21">
                  <c:v>1.4</c:v>
                </c:pt>
                <c:pt idx="22">
                  <c:v>1.4</c:v>
                </c:pt>
                <c:pt idx="23">
                  <c:v>1.5</c:v>
                </c:pt>
                <c:pt idx="24">
                  <c:v>1.5</c:v>
                </c:pt>
                <c:pt idx="25">
                  <c:v>1.5</c:v>
                </c:pt>
                <c:pt idx="26">
                  <c:v>1.5</c:v>
                </c:pt>
                <c:pt idx="27">
                  <c:v>1.6</c:v>
                </c:pt>
                <c:pt idx="28">
                  <c:v>1.6</c:v>
                </c:pt>
                <c:pt idx="29">
                  <c:v>1.6</c:v>
                </c:pt>
                <c:pt idx="30">
                  <c:v>1.6</c:v>
                </c:pt>
                <c:pt idx="31">
                  <c:v>1.7</c:v>
                </c:pt>
                <c:pt idx="32">
                  <c:v>1.7</c:v>
                </c:pt>
                <c:pt idx="33">
                  <c:v>1.7</c:v>
                </c:pt>
                <c:pt idx="34">
                  <c:v>1.7</c:v>
                </c:pt>
                <c:pt idx="35">
                  <c:v>1.8</c:v>
                </c:pt>
                <c:pt idx="36">
                  <c:v>1.8</c:v>
                </c:pt>
                <c:pt idx="37">
                  <c:v>1.8</c:v>
                </c:pt>
                <c:pt idx="38">
                  <c:v>1.7</c:v>
                </c:pt>
                <c:pt idx="39">
                  <c:v>1.8</c:v>
                </c:pt>
              </c:numCache>
            </c:numRef>
          </c:val>
          <c:extLst>
            <c:ext xmlns:c16="http://schemas.microsoft.com/office/drawing/2014/chart" uri="{C3380CC4-5D6E-409C-BE32-E72D297353CC}">
              <c16:uniqueId val="{00000004-56E0-43AF-8BD9-80B430B5E8AC}"/>
            </c:ext>
          </c:extLst>
        </c:ser>
        <c:ser>
          <c:idx val="4"/>
          <c:order val="4"/>
          <c:tx>
            <c:strRef>
              <c:f>'Time Series Analysis'!$P$5</c:f>
              <c:strCache>
                <c:ptCount val="1"/>
                <c:pt idx="0">
                  <c:v>Parent PLUS  - Recipients</c:v>
                </c:pt>
              </c:strCache>
            </c:strRef>
          </c:tx>
          <c:invertIfNegative val="0"/>
          <c:cat>
            <c:multiLvlStrRef>
              <c:f>'Time Series Analysis'!$B$6:$C$45</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Analysis'!$P$6:$P$45</c:f>
              <c:numCache>
                <c:formatCode>General</c:formatCode>
                <c:ptCount val="40"/>
                <c:pt idx="0">
                  <c:v>3.2</c:v>
                </c:pt>
                <c:pt idx="1">
                  <c:v>3.2</c:v>
                </c:pt>
                <c:pt idx="2">
                  <c:v>3.1</c:v>
                </c:pt>
                <c:pt idx="3">
                  <c:v>3.3</c:v>
                </c:pt>
                <c:pt idx="4">
                  <c:v>3.4</c:v>
                </c:pt>
                <c:pt idx="5">
                  <c:v>3.3</c:v>
                </c:pt>
                <c:pt idx="6">
                  <c:v>3.3</c:v>
                </c:pt>
                <c:pt idx="7">
                  <c:v>3.5</c:v>
                </c:pt>
                <c:pt idx="8">
                  <c:v>3.5</c:v>
                </c:pt>
                <c:pt idx="9">
                  <c:v>3.4</c:v>
                </c:pt>
                <c:pt idx="10">
                  <c:v>3.4</c:v>
                </c:pt>
                <c:pt idx="11">
                  <c:v>3.5</c:v>
                </c:pt>
                <c:pt idx="12">
                  <c:v>3.5</c:v>
                </c:pt>
                <c:pt idx="13">
                  <c:v>3.5</c:v>
                </c:pt>
                <c:pt idx="14">
                  <c:v>3.4</c:v>
                </c:pt>
                <c:pt idx="15">
                  <c:v>3.6</c:v>
                </c:pt>
                <c:pt idx="16">
                  <c:v>3.6</c:v>
                </c:pt>
                <c:pt idx="17">
                  <c:v>3.5</c:v>
                </c:pt>
                <c:pt idx="18">
                  <c:v>3.5</c:v>
                </c:pt>
                <c:pt idx="19">
                  <c:v>3.6</c:v>
                </c:pt>
                <c:pt idx="20">
                  <c:v>3.6</c:v>
                </c:pt>
                <c:pt idx="21">
                  <c:v>3.5</c:v>
                </c:pt>
                <c:pt idx="22" formatCode="#,##0.0">
                  <c:v>3.5</c:v>
                </c:pt>
                <c:pt idx="23" formatCode="#,##0.0">
                  <c:v>3.6</c:v>
                </c:pt>
                <c:pt idx="24" formatCode="#,##0.0">
                  <c:v>3.6</c:v>
                </c:pt>
                <c:pt idx="25" formatCode="0.0">
                  <c:v>3.6</c:v>
                </c:pt>
                <c:pt idx="26" formatCode="#,##0.0">
                  <c:v>3.6</c:v>
                </c:pt>
                <c:pt idx="27" formatCode="#,##0.0">
                  <c:v>3.7</c:v>
                </c:pt>
                <c:pt idx="28" formatCode="#,##0.0">
                  <c:v>3.7</c:v>
                </c:pt>
                <c:pt idx="29" formatCode="#,##0.0">
                  <c:v>3.6</c:v>
                </c:pt>
                <c:pt idx="30" formatCode="#,##0.0">
                  <c:v>3.6</c:v>
                </c:pt>
                <c:pt idx="31" formatCode="#,##0.0">
                  <c:v>3.7</c:v>
                </c:pt>
                <c:pt idx="32" formatCode="#,##0.0">
                  <c:v>3.7</c:v>
                </c:pt>
                <c:pt idx="33" formatCode="#,##0.0">
                  <c:v>3.7</c:v>
                </c:pt>
                <c:pt idx="34" formatCode="#,##0.0">
                  <c:v>3.7</c:v>
                </c:pt>
                <c:pt idx="35" formatCode="#,##0.0">
                  <c:v>3.8</c:v>
                </c:pt>
                <c:pt idx="36" formatCode="#,##0.0">
                  <c:v>3.7</c:v>
                </c:pt>
                <c:pt idx="37" formatCode="#,##0.0">
                  <c:v>3.6</c:v>
                </c:pt>
                <c:pt idx="38" formatCode="#,##0.0">
                  <c:v>3.5</c:v>
                </c:pt>
                <c:pt idx="39" formatCode="#,##0.0">
                  <c:v>3.6</c:v>
                </c:pt>
              </c:numCache>
            </c:numRef>
          </c:val>
          <c:extLst>
            <c:ext xmlns:c16="http://schemas.microsoft.com/office/drawing/2014/chart" uri="{C3380CC4-5D6E-409C-BE32-E72D297353CC}">
              <c16:uniqueId val="{00000005-56E0-43AF-8BD9-80B430B5E8AC}"/>
            </c:ext>
          </c:extLst>
        </c:ser>
        <c:ser>
          <c:idx val="5"/>
          <c:order val="5"/>
          <c:tx>
            <c:strRef>
              <c:f>'Time Series Analysis'!$S$5</c:f>
              <c:strCache>
                <c:ptCount val="1"/>
                <c:pt idx="0">
                  <c:v>Perkins  - Recipients</c:v>
                </c:pt>
              </c:strCache>
            </c:strRef>
          </c:tx>
          <c:invertIfNegative val="0"/>
          <c:cat>
            <c:multiLvlStrRef>
              <c:f>'Time Series Analysis'!$B$6:$C$45</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Analysis'!$S$6:$S$45</c:f>
              <c:numCache>
                <c:formatCode>0.0</c:formatCode>
                <c:ptCount val="40"/>
                <c:pt idx="0">
                  <c:v>3</c:v>
                </c:pt>
                <c:pt idx="1">
                  <c:v>2.9</c:v>
                </c:pt>
                <c:pt idx="2">
                  <c:v>2.9</c:v>
                </c:pt>
                <c:pt idx="3">
                  <c:v>2.8</c:v>
                </c:pt>
                <c:pt idx="4">
                  <c:v>2.9</c:v>
                </c:pt>
                <c:pt idx="5">
                  <c:v>2.8</c:v>
                </c:pt>
                <c:pt idx="6">
                  <c:v>2.7</c:v>
                </c:pt>
                <c:pt idx="7">
                  <c:v>2.7</c:v>
                </c:pt>
                <c:pt idx="8">
                  <c:v>2.7</c:v>
                </c:pt>
                <c:pt idx="9">
                  <c:v>2.6</c:v>
                </c:pt>
                <c:pt idx="10">
                  <c:v>2.6</c:v>
                </c:pt>
                <c:pt idx="11">
                  <c:v>2.5</c:v>
                </c:pt>
                <c:pt idx="12">
                  <c:v>2.5</c:v>
                </c:pt>
                <c:pt idx="13">
                  <c:v>2.5</c:v>
                </c:pt>
                <c:pt idx="14">
                  <c:v>2.4</c:v>
                </c:pt>
                <c:pt idx="15">
                  <c:v>2.2999999999999998</c:v>
                </c:pt>
                <c:pt idx="16">
                  <c:v>2.2000000000000002</c:v>
                </c:pt>
                <c:pt idx="17">
                  <c:v>2.2000000000000002</c:v>
                </c:pt>
                <c:pt idx="18">
                  <c:v>2.1</c:v>
                </c:pt>
                <c:pt idx="19">
                  <c:v>2</c:v>
                </c:pt>
                <c:pt idx="20">
                  <c:v>1.9</c:v>
                </c:pt>
                <c:pt idx="21">
                  <c:v>1.9</c:v>
                </c:pt>
                <c:pt idx="22">
                  <c:v>1.8</c:v>
                </c:pt>
                <c:pt idx="23">
                  <c:v>1.7</c:v>
                </c:pt>
                <c:pt idx="24">
                  <c:v>1.7</c:v>
                </c:pt>
                <c:pt idx="25">
                  <c:v>1.6</c:v>
                </c:pt>
                <c:pt idx="26">
                  <c:v>1.6</c:v>
                </c:pt>
                <c:pt idx="27">
                  <c:v>1.5</c:v>
                </c:pt>
                <c:pt idx="28">
                  <c:v>1.5</c:v>
                </c:pt>
                <c:pt idx="29">
                  <c:v>1.4</c:v>
                </c:pt>
                <c:pt idx="30">
                  <c:v>1.3</c:v>
                </c:pt>
                <c:pt idx="31">
                  <c:v>1.3</c:v>
                </c:pt>
                <c:pt idx="32">
                  <c:v>1.3</c:v>
                </c:pt>
                <c:pt idx="33">
                  <c:v>1.2</c:v>
                </c:pt>
                <c:pt idx="34">
                  <c:v>1.2</c:v>
                </c:pt>
                <c:pt idx="35">
                  <c:v>1.2</c:v>
                </c:pt>
                <c:pt idx="36">
                  <c:v>1.1000000000000001</c:v>
                </c:pt>
                <c:pt idx="37">
                  <c:v>1.1000000000000001</c:v>
                </c:pt>
                <c:pt idx="38">
                  <c:v>1.1000000000000001</c:v>
                </c:pt>
                <c:pt idx="39">
                  <c:v>1</c:v>
                </c:pt>
              </c:numCache>
            </c:numRef>
          </c:val>
          <c:extLst>
            <c:ext xmlns:c16="http://schemas.microsoft.com/office/drawing/2014/chart" uri="{C3380CC4-5D6E-409C-BE32-E72D297353CC}">
              <c16:uniqueId val="{00000006-56E0-43AF-8BD9-80B430B5E8AC}"/>
            </c:ext>
          </c:extLst>
        </c:ser>
        <c:ser>
          <c:idx val="6"/>
          <c:order val="6"/>
          <c:tx>
            <c:strRef>
              <c:f>'Time Series Analysis'!$V$5</c:f>
              <c:strCache>
                <c:ptCount val="1"/>
                <c:pt idx="0">
                  <c:v>Consolidation  - Recipients</c:v>
                </c:pt>
              </c:strCache>
            </c:strRef>
          </c:tx>
          <c:invertIfNegative val="0"/>
          <c:cat>
            <c:multiLvlStrRef>
              <c:f>'Time Series Analysis'!$B$6:$C$45</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Analysis'!$V$6:$V$45</c:f>
              <c:numCache>
                <c:formatCode>General</c:formatCode>
                <c:ptCount val="40"/>
                <c:pt idx="0">
                  <c:v>11.9</c:v>
                </c:pt>
                <c:pt idx="1">
                  <c:v>11.9</c:v>
                </c:pt>
                <c:pt idx="2">
                  <c:v>11.9</c:v>
                </c:pt>
                <c:pt idx="3">
                  <c:v>11.9</c:v>
                </c:pt>
                <c:pt idx="4" formatCode="0.0">
                  <c:v>12</c:v>
                </c:pt>
                <c:pt idx="5" formatCode="0.0">
                  <c:v>12</c:v>
                </c:pt>
                <c:pt idx="6" formatCode="0.0">
                  <c:v>12</c:v>
                </c:pt>
                <c:pt idx="7" formatCode="0.0">
                  <c:v>12</c:v>
                </c:pt>
                <c:pt idx="8" formatCode="0.0">
                  <c:v>12</c:v>
                </c:pt>
                <c:pt idx="9" formatCode="0.0">
                  <c:v>12</c:v>
                </c:pt>
                <c:pt idx="10" formatCode="0.0">
                  <c:v>12</c:v>
                </c:pt>
                <c:pt idx="11" formatCode="0.0">
                  <c:v>12</c:v>
                </c:pt>
                <c:pt idx="12" formatCode="0.0">
                  <c:v>12</c:v>
                </c:pt>
                <c:pt idx="13" formatCode="0.0">
                  <c:v>11.9</c:v>
                </c:pt>
                <c:pt idx="14" formatCode="0.0">
                  <c:v>11.9</c:v>
                </c:pt>
                <c:pt idx="15" formatCode="0.0">
                  <c:v>11.9</c:v>
                </c:pt>
                <c:pt idx="16" formatCode="0.0">
                  <c:v>11.8</c:v>
                </c:pt>
                <c:pt idx="17" formatCode="0.0">
                  <c:v>11.8</c:v>
                </c:pt>
                <c:pt idx="18" formatCode="0.0">
                  <c:v>11.8</c:v>
                </c:pt>
                <c:pt idx="19" formatCode="0.0">
                  <c:v>11.7</c:v>
                </c:pt>
                <c:pt idx="20" formatCode="0.0">
                  <c:v>11.7</c:v>
                </c:pt>
                <c:pt idx="21" formatCode="0.0">
                  <c:v>11.6</c:v>
                </c:pt>
                <c:pt idx="22">
                  <c:v>11.6</c:v>
                </c:pt>
                <c:pt idx="23" formatCode="#,##0.0">
                  <c:v>11.5</c:v>
                </c:pt>
                <c:pt idx="24" formatCode="#,##0.0">
                  <c:v>11.5</c:v>
                </c:pt>
                <c:pt idx="25" formatCode="0.0">
                  <c:v>11.4</c:v>
                </c:pt>
                <c:pt idx="26" formatCode="#,##0.0">
                  <c:v>11.3</c:v>
                </c:pt>
                <c:pt idx="27" formatCode="#,##0.0">
                  <c:v>11.3</c:v>
                </c:pt>
                <c:pt idx="28" formatCode="#,##0.0">
                  <c:v>11.2</c:v>
                </c:pt>
                <c:pt idx="29" formatCode="#,##0.0">
                  <c:v>11</c:v>
                </c:pt>
                <c:pt idx="30" formatCode="#,##0.0">
                  <c:v>10.9</c:v>
                </c:pt>
                <c:pt idx="31" formatCode="#,##0.0">
                  <c:v>10.9</c:v>
                </c:pt>
                <c:pt idx="32" formatCode="#,##0.0">
                  <c:v>11</c:v>
                </c:pt>
                <c:pt idx="33" formatCode="#,##0.0">
                  <c:v>10.7</c:v>
                </c:pt>
                <c:pt idx="34" formatCode="#,##0.0">
                  <c:v>10.5</c:v>
                </c:pt>
                <c:pt idx="35" formatCode="#,##0.0">
                  <c:v>9.8000000000000007</c:v>
                </c:pt>
                <c:pt idx="36" formatCode="#,##0.0">
                  <c:v>9.8000000000000007</c:v>
                </c:pt>
                <c:pt idx="37" formatCode="#,##0.0">
                  <c:v>9.6999999999999993</c:v>
                </c:pt>
                <c:pt idx="38" formatCode="#,##0.0">
                  <c:v>9.5</c:v>
                </c:pt>
                <c:pt idx="39" formatCode="#,##0.0">
                  <c:v>9.5</c:v>
                </c:pt>
              </c:numCache>
            </c:numRef>
          </c:val>
          <c:extLst>
            <c:ext xmlns:c16="http://schemas.microsoft.com/office/drawing/2014/chart" uri="{C3380CC4-5D6E-409C-BE32-E72D297353CC}">
              <c16:uniqueId val="{00000007-56E0-43AF-8BD9-80B430B5E8AC}"/>
            </c:ext>
          </c:extLst>
        </c:ser>
        <c:dLbls>
          <c:showLegendKey val="0"/>
          <c:showVal val="0"/>
          <c:showCatName val="0"/>
          <c:showSerName val="0"/>
          <c:showPercent val="0"/>
          <c:showBubbleSize val="0"/>
        </c:dLbls>
        <c:gapWidth val="182"/>
        <c:axId val="1004688336"/>
        <c:axId val="1"/>
      </c:barChart>
      <c:catAx>
        <c:axId val="10046883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Year(Quarter)</a:t>
                </a:r>
              </a:p>
            </c:rich>
          </c:tx>
          <c:overlay val="0"/>
          <c:spPr>
            <a:noFill/>
            <a:ln w="25400">
              <a:noFill/>
            </a:ln>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Recipients in millons</a:t>
                </a:r>
              </a:p>
            </c:rich>
          </c:tx>
          <c:overlay val="0"/>
          <c:spPr>
            <a:noFill/>
            <a:ln w="25400">
              <a:noFill/>
            </a:ln>
          </c:spPr>
        </c:title>
        <c:numFmt formatCode="0.0" sourceLinked="1"/>
        <c:majorTickMark val="out"/>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688336"/>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'Forecasting trends - Loan Type'!$B$4</c:f>
              <c:strCache>
                <c:ptCount val="1"/>
                <c:pt idx="0">
                  <c:v> Dollars Outstanding
(in billions)</c:v>
                </c:pt>
              </c:strCache>
            </c:strRef>
          </c:tx>
          <c:spPr>
            <a:ln>
              <a:solidFill>
                <a:schemeClr val="accent1"/>
              </a:solidFill>
            </a:ln>
          </c:spPr>
          <c:marker>
            <c:symbol val="none"/>
          </c:marker>
          <c:cat>
            <c:strRef>
              <c:f>'Forecasting trends - Loan Type'!$A$4:$A$15</c:f>
              <c:strCache>
                <c:ptCount val="12"/>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strCache>
            </c:strRef>
          </c:cat>
          <c:val>
            <c:numRef>
              <c:f>'Forecasting trends - Loan Type'!$B$5:$B$15</c:f>
              <c:numCache>
                <c:formatCode>"$"#,##0.0_);[Red]\("$"#,##0.0\)</c:formatCode>
                <c:ptCount val="11"/>
                <c:pt idx="0">
                  <c:v>256.06666666666666</c:v>
                </c:pt>
                <c:pt idx="1">
                  <c:v>261.60000000000002</c:v>
                </c:pt>
                <c:pt idx="2">
                  <c:v>267.47500000000002</c:v>
                </c:pt>
                <c:pt idx="3">
                  <c:v>271.07499999999999</c:v>
                </c:pt>
                <c:pt idx="4">
                  <c:v>275.07499999999999</c:v>
                </c:pt>
                <c:pt idx="5">
                  <c:v>278.72499999999997</c:v>
                </c:pt>
                <c:pt idx="6">
                  <c:v>282.625</c:v>
                </c:pt>
                <c:pt idx="7">
                  <c:v>288.8</c:v>
                </c:pt>
                <c:pt idx="8">
                  <c:v>292.55</c:v>
                </c:pt>
                <c:pt idx="9">
                  <c:v>295.05</c:v>
                </c:pt>
                <c:pt idx="10">
                  <c:v>293.72500000000002</c:v>
                </c:pt>
              </c:numCache>
            </c:numRef>
          </c:val>
          <c:smooth val="0"/>
          <c:extLst>
            <c:ext xmlns:c16="http://schemas.microsoft.com/office/drawing/2014/chart" uri="{C3380CC4-5D6E-409C-BE32-E72D297353CC}">
              <c16:uniqueId val="{00000002-6D7D-42D7-B84E-BC17618A7618}"/>
            </c:ext>
          </c:extLst>
        </c:ser>
        <c:dLbls>
          <c:showLegendKey val="0"/>
          <c:showVal val="0"/>
          <c:showCatName val="0"/>
          <c:showSerName val="0"/>
          <c:showPercent val="0"/>
          <c:showBubbleSize val="0"/>
        </c:dLbls>
        <c:smooth val="0"/>
        <c:axId val="1004675376"/>
        <c:axId val="1"/>
      </c:lineChart>
      <c:catAx>
        <c:axId val="100467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67537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'Forecasting trends - Loan Type'!$B$4</c:f>
              <c:strCache>
                <c:ptCount val="1"/>
                <c:pt idx="0">
                  <c:v> Dollars Outstanding
(in billions)</c:v>
                </c:pt>
              </c:strCache>
            </c:strRef>
          </c:tx>
          <c:spPr>
            <a:ln w="28575" cap="rnd">
              <a:solidFill>
                <a:schemeClr val="accent1"/>
              </a:solidFill>
              <a:round/>
            </a:ln>
            <a:effectLst/>
          </c:spPr>
          <c:marker>
            <c:symbol val="none"/>
          </c:marker>
          <c:val>
            <c:numRef>
              <c:f>'Forecasting trends - Loan Type'!$B$5:$B$18</c:f>
              <c:numCache>
                <c:formatCode>"$"#,##0.0_);[Red]\("$"#,##0.0\)</c:formatCode>
                <c:ptCount val="14"/>
                <c:pt idx="0">
                  <c:v>256.06666666666666</c:v>
                </c:pt>
                <c:pt idx="1">
                  <c:v>261.60000000000002</c:v>
                </c:pt>
                <c:pt idx="2">
                  <c:v>267.47500000000002</c:v>
                </c:pt>
                <c:pt idx="3">
                  <c:v>271.07499999999999</c:v>
                </c:pt>
                <c:pt idx="4">
                  <c:v>275.07499999999999</c:v>
                </c:pt>
                <c:pt idx="5">
                  <c:v>278.72499999999997</c:v>
                </c:pt>
                <c:pt idx="6">
                  <c:v>282.625</c:v>
                </c:pt>
                <c:pt idx="7">
                  <c:v>288.8</c:v>
                </c:pt>
                <c:pt idx="8">
                  <c:v>292.55</c:v>
                </c:pt>
                <c:pt idx="9">
                  <c:v>295.05</c:v>
                </c:pt>
                <c:pt idx="10">
                  <c:v>293.72500000000002</c:v>
                </c:pt>
              </c:numCache>
            </c:numRef>
          </c:val>
          <c:smooth val="0"/>
          <c:extLst>
            <c:ext xmlns:c16="http://schemas.microsoft.com/office/drawing/2014/chart" uri="{C3380CC4-5D6E-409C-BE32-E72D297353CC}">
              <c16:uniqueId val="{00000000-9CFC-4FD5-AE17-12AAD98D402B}"/>
            </c:ext>
          </c:extLst>
        </c:ser>
        <c:ser>
          <c:idx val="1"/>
          <c:order val="1"/>
          <c:tx>
            <c:strRef>
              <c:f>'Forecasting trends - Loan Type'!$C$4</c:f>
              <c:strCache>
                <c:ptCount val="1"/>
                <c:pt idx="0">
                  <c:v>Forecast( Dollars Outstanding
(in billions))</c:v>
                </c:pt>
              </c:strCache>
            </c:strRef>
          </c:tx>
          <c:spPr>
            <a:ln w="25400" cap="rnd">
              <a:solidFill>
                <a:schemeClr val="accent2"/>
              </a:solidFill>
              <a:round/>
            </a:ln>
            <a:effectLst/>
          </c:spPr>
          <c:marker>
            <c:symbol val="none"/>
          </c:marker>
          <c:cat>
            <c:numRef>
              <c:f>'Forecasting trends - Loan Type'!$A$5:$A$18</c:f>
              <c:numCache>
                <c:formatCode>General</c:formatCode>
                <c:ptCount val="14"/>
                <c:pt idx="0">
                  <c:v>2014</c:v>
                </c:pt>
                <c:pt idx="1">
                  <c:v>2015</c:v>
                </c:pt>
                <c:pt idx="2">
                  <c:v>2016</c:v>
                </c:pt>
                <c:pt idx="3">
                  <c:v>2017</c:v>
                </c:pt>
                <c:pt idx="4">
                  <c:v>2018</c:v>
                </c:pt>
                <c:pt idx="5">
                  <c:v>2019</c:v>
                </c:pt>
                <c:pt idx="6">
                  <c:v>2020</c:v>
                </c:pt>
                <c:pt idx="7">
                  <c:v>2021</c:v>
                </c:pt>
                <c:pt idx="8">
                  <c:v>2022</c:v>
                </c:pt>
                <c:pt idx="9">
                  <c:v>2023</c:v>
                </c:pt>
                <c:pt idx="10">
                  <c:v>2024</c:v>
                </c:pt>
                <c:pt idx="11">
                  <c:v>2025</c:v>
                </c:pt>
                <c:pt idx="12">
                  <c:v>2026</c:v>
                </c:pt>
                <c:pt idx="13">
                  <c:v>2027</c:v>
                </c:pt>
              </c:numCache>
            </c:numRef>
          </c:cat>
          <c:val>
            <c:numRef>
              <c:f>'Forecasting trends - Loan Type'!$C$5:$C$18</c:f>
              <c:numCache>
                <c:formatCode>General</c:formatCode>
                <c:ptCount val="14"/>
                <c:pt idx="10" formatCode="&quot;$&quot;#,##0.0_);[Red]\(&quot;$&quot;#,##0.0\)">
                  <c:v>293.72500000000002</c:v>
                </c:pt>
                <c:pt idx="11" formatCode="&quot;$&quot;#,##0.0_);[Red]\(&quot;$&quot;#,##0.0\)">
                  <c:v>296.34665916710833</c:v>
                </c:pt>
                <c:pt idx="12" formatCode="&quot;$&quot;#,##0.0_);[Red]\(&quot;$&quot;#,##0.0\)">
                  <c:v>297.0785041795753</c:v>
                </c:pt>
                <c:pt idx="13" formatCode="&quot;$&quot;#,##0.0_);[Red]\(&quot;$&quot;#,##0.0\)">
                  <c:v>297.81034919204228</c:v>
                </c:pt>
              </c:numCache>
            </c:numRef>
          </c:val>
          <c:smooth val="0"/>
          <c:extLst>
            <c:ext xmlns:c16="http://schemas.microsoft.com/office/drawing/2014/chart" uri="{C3380CC4-5D6E-409C-BE32-E72D297353CC}">
              <c16:uniqueId val="{00000001-9CFC-4FD5-AE17-12AAD98D402B}"/>
            </c:ext>
          </c:extLst>
        </c:ser>
        <c:ser>
          <c:idx val="2"/>
          <c:order val="2"/>
          <c:tx>
            <c:strRef>
              <c:f>'Forecasting trends - Loan Type'!$D$4</c:f>
              <c:strCache>
                <c:ptCount val="1"/>
                <c:pt idx="0">
                  <c:v>Lower Confidence Bound( Dollars Outstanding
(in billions))</c:v>
                </c:pt>
              </c:strCache>
            </c:strRef>
          </c:tx>
          <c:spPr>
            <a:ln w="12700" cap="rnd">
              <a:solidFill>
                <a:srgbClr val="DA1F28"/>
              </a:solidFill>
              <a:prstDash val="solid"/>
              <a:round/>
            </a:ln>
            <a:effectLst/>
          </c:spPr>
          <c:marker>
            <c:symbol val="none"/>
          </c:marker>
          <c:cat>
            <c:numRef>
              <c:f>'Forecasting trends - Loan Type'!$A$5:$A$18</c:f>
              <c:numCache>
                <c:formatCode>General</c:formatCode>
                <c:ptCount val="14"/>
                <c:pt idx="0">
                  <c:v>2014</c:v>
                </c:pt>
                <c:pt idx="1">
                  <c:v>2015</c:v>
                </c:pt>
                <c:pt idx="2">
                  <c:v>2016</c:v>
                </c:pt>
                <c:pt idx="3">
                  <c:v>2017</c:v>
                </c:pt>
                <c:pt idx="4">
                  <c:v>2018</c:v>
                </c:pt>
                <c:pt idx="5">
                  <c:v>2019</c:v>
                </c:pt>
                <c:pt idx="6">
                  <c:v>2020</c:v>
                </c:pt>
                <c:pt idx="7">
                  <c:v>2021</c:v>
                </c:pt>
                <c:pt idx="8">
                  <c:v>2022</c:v>
                </c:pt>
                <c:pt idx="9">
                  <c:v>2023</c:v>
                </c:pt>
                <c:pt idx="10">
                  <c:v>2024</c:v>
                </c:pt>
                <c:pt idx="11">
                  <c:v>2025</c:v>
                </c:pt>
                <c:pt idx="12">
                  <c:v>2026</c:v>
                </c:pt>
                <c:pt idx="13">
                  <c:v>2027</c:v>
                </c:pt>
              </c:numCache>
            </c:numRef>
          </c:cat>
          <c:val>
            <c:numRef>
              <c:f>'Forecasting trends - Loan Type'!$D$5:$D$18</c:f>
              <c:numCache>
                <c:formatCode>General</c:formatCode>
                <c:ptCount val="14"/>
                <c:pt idx="10" formatCode="&quot;$&quot;#,##0.0_);[Red]\(&quot;$&quot;#,##0.0\)">
                  <c:v>293.72500000000002</c:v>
                </c:pt>
                <c:pt idx="11" formatCode="&quot;$&quot;#,##0.0_);[Red]\(&quot;$&quot;#,##0.0\)">
                  <c:v>292.01528300571766</c:v>
                </c:pt>
                <c:pt idx="12" formatCode="&quot;$&quot;#,##0.0_);[Red]\(&quot;$&quot;#,##0.0\)">
                  <c:v>290.42295056983329</c:v>
                </c:pt>
                <c:pt idx="13" formatCode="&quot;$&quot;#,##0.0_);[Red]\(&quot;$&quot;#,##0.0\)">
                  <c:v>287.99149986726479</c:v>
                </c:pt>
              </c:numCache>
            </c:numRef>
          </c:val>
          <c:smooth val="0"/>
          <c:extLst>
            <c:ext xmlns:c16="http://schemas.microsoft.com/office/drawing/2014/chart" uri="{C3380CC4-5D6E-409C-BE32-E72D297353CC}">
              <c16:uniqueId val="{00000002-9CFC-4FD5-AE17-12AAD98D402B}"/>
            </c:ext>
          </c:extLst>
        </c:ser>
        <c:ser>
          <c:idx val="3"/>
          <c:order val="3"/>
          <c:tx>
            <c:strRef>
              <c:f>'Forecasting trends - Loan Type'!$E$4</c:f>
              <c:strCache>
                <c:ptCount val="1"/>
                <c:pt idx="0">
                  <c:v>Upper Confidence Bound( Dollars Outstanding
(in billions))</c:v>
                </c:pt>
              </c:strCache>
            </c:strRef>
          </c:tx>
          <c:spPr>
            <a:ln w="12700" cap="rnd">
              <a:solidFill>
                <a:srgbClr val="DA1F28"/>
              </a:solidFill>
              <a:prstDash val="solid"/>
              <a:round/>
            </a:ln>
            <a:effectLst/>
          </c:spPr>
          <c:marker>
            <c:symbol val="none"/>
          </c:marker>
          <c:cat>
            <c:numRef>
              <c:f>'Forecasting trends - Loan Type'!$A$5:$A$18</c:f>
              <c:numCache>
                <c:formatCode>General</c:formatCode>
                <c:ptCount val="14"/>
                <c:pt idx="0">
                  <c:v>2014</c:v>
                </c:pt>
                <c:pt idx="1">
                  <c:v>2015</c:v>
                </c:pt>
                <c:pt idx="2">
                  <c:v>2016</c:v>
                </c:pt>
                <c:pt idx="3">
                  <c:v>2017</c:v>
                </c:pt>
                <c:pt idx="4">
                  <c:v>2018</c:v>
                </c:pt>
                <c:pt idx="5">
                  <c:v>2019</c:v>
                </c:pt>
                <c:pt idx="6">
                  <c:v>2020</c:v>
                </c:pt>
                <c:pt idx="7">
                  <c:v>2021</c:v>
                </c:pt>
                <c:pt idx="8">
                  <c:v>2022</c:v>
                </c:pt>
                <c:pt idx="9">
                  <c:v>2023</c:v>
                </c:pt>
                <c:pt idx="10">
                  <c:v>2024</c:v>
                </c:pt>
                <c:pt idx="11">
                  <c:v>2025</c:v>
                </c:pt>
                <c:pt idx="12">
                  <c:v>2026</c:v>
                </c:pt>
                <c:pt idx="13">
                  <c:v>2027</c:v>
                </c:pt>
              </c:numCache>
            </c:numRef>
          </c:cat>
          <c:val>
            <c:numRef>
              <c:f>'Forecasting trends - Loan Type'!$E$5:$E$18</c:f>
              <c:numCache>
                <c:formatCode>General</c:formatCode>
                <c:ptCount val="14"/>
                <c:pt idx="10" formatCode="&quot;$&quot;#,##0.0_);[Red]\(&quot;$&quot;#,##0.0\)">
                  <c:v>293.72500000000002</c:v>
                </c:pt>
                <c:pt idx="11" formatCode="&quot;$&quot;#,##0.0_);[Red]\(&quot;$&quot;#,##0.0\)">
                  <c:v>300.67803532849899</c:v>
                </c:pt>
                <c:pt idx="12" formatCode="&quot;$&quot;#,##0.0_);[Red]\(&quot;$&quot;#,##0.0\)">
                  <c:v>303.73405778931732</c:v>
                </c:pt>
                <c:pt idx="13" formatCode="&quot;$&quot;#,##0.0_);[Red]\(&quot;$&quot;#,##0.0\)">
                  <c:v>307.62919851681977</c:v>
                </c:pt>
              </c:numCache>
            </c:numRef>
          </c:val>
          <c:smooth val="0"/>
          <c:extLst>
            <c:ext xmlns:c16="http://schemas.microsoft.com/office/drawing/2014/chart" uri="{C3380CC4-5D6E-409C-BE32-E72D297353CC}">
              <c16:uniqueId val="{00000003-9CFC-4FD5-AE17-12AAD98D402B}"/>
            </c:ext>
          </c:extLst>
        </c:ser>
        <c:dLbls>
          <c:showLegendKey val="0"/>
          <c:showVal val="0"/>
          <c:showCatName val="0"/>
          <c:showSerName val="0"/>
          <c:showPercent val="0"/>
          <c:showBubbleSize val="0"/>
        </c:dLbls>
        <c:smooth val="0"/>
        <c:axId val="1140061280"/>
        <c:axId val="1140044960"/>
      </c:lineChart>
      <c:catAx>
        <c:axId val="1140061280"/>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44960"/>
        <c:crosses val="autoZero"/>
        <c:auto val="1"/>
        <c:lblAlgn val="ctr"/>
        <c:lblOffset val="100"/>
        <c:noMultiLvlLbl val="0"/>
      </c:catAx>
      <c:valAx>
        <c:axId val="11400449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61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strRef>
              <c:f>'Forecasting trends - Loan Type'!$B$48</c:f>
              <c:strCache>
                <c:ptCount val="1"/>
                <c:pt idx="0">
                  <c:v> Dollars Outstanding
(in billions)</c:v>
                </c:pt>
              </c:strCache>
            </c:strRef>
          </c:tx>
          <c:spPr>
            <a:ln w="25400" cap="rnd">
              <a:solidFill>
                <a:schemeClr val="accent2"/>
              </a:solidFill>
              <a:round/>
            </a:ln>
            <a:effectLst/>
          </c:spPr>
          <c:marker>
            <c:symbol val="none"/>
          </c:marker>
          <c:cat>
            <c:strRef>
              <c:f>'Forecasting trends - Loan Type'!$A$48:$A$62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Type'!$B$49:$B$62</c:f>
              <c:numCache>
                <c:formatCode>"$"#,##0.0</c:formatCode>
                <c:ptCount val="14"/>
                <c:pt idx="0">
                  <c:v>358.86666666666673</c:v>
                </c:pt>
                <c:pt idx="1">
                  <c:v>389.27499999999998</c:v>
                </c:pt>
                <c:pt idx="2">
                  <c:v>422</c:v>
                </c:pt>
                <c:pt idx="3">
                  <c:v>449.70000000000005</c:v>
                </c:pt>
                <c:pt idx="4">
                  <c:v>476.82499999999999</c:v>
                </c:pt>
                <c:pt idx="5">
                  <c:v>503.65</c:v>
                </c:pt>
                <c:pt idx="6">
                  <c:v>528.42499999999995</c:v>
                </c:pt>
                <c:pt idx="7">
                  <c:v>552.27499999999998</c:v>
                </c:pt>
                <c:pt idx="8">
                  <c:v>571.29999999999995</c:v>
                </c:pt>
                <c:pt idx="9">
                  <c:v>583.22500000000002</c:v>
                </c:pt>
                <c:pt idx="10">
                  <c:v>593.09999999999991</c:v>
                </c:pt>
              </c:numCache>
            </c:numRef>
          </c:val>
          <c:smooth val="0"/>
          <c:extLst>
            <c:ext xmlns:c16="http://schemas.microsoft.com/office/drawing/2014/chart" uri="{C3380CC4-5D6E-409C-BE32-E72D297353CC}">
              <c16:uniqueId val="{00000001-2049-41B7-80ED-2626D4D0F9DE}"/>
            </c:ext>
          </c:extLst>
        </c:ser>
        <c:ser>
          <c:idx val="2"/>
          <c:order val="1"/>
          <c:tx>
            <c:strRef>
              <c:f>'Forecasting trends - Loan Type'!$C$48</c:f>
              <c:strCache>
                <c:ptCount val="1"/>
                <c:pt idx="0">
                  <c:v>Forecast( Dollars Outstanding
(in billions))</c:v>
                </c:pt>
              </c:strCache>
            </c:strRef>
          </c:tx>
          <c:spPr>
            <a:ln w="12700" cap="rnd">
              <a:solidFill>
                <a:srgbClr val="DA1F28"/>
              </a:solidFill>
              <a:prstDash val="solid"/>
              <a:round/>
            </a:ln>
            <a:effectLst/>
          </c:spPr>
          <c:marker>
            <c:symbol val="none"/>
          </c:marker>
          <c:cat>
            <c:strRef>
              <c:f>'Forecasting trends - Loan Type'!$A$48:$A$62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Type'!$C$49:$C$62</c:f>
              <c:numCache>
                <c:formatCode>General</c:formatCode>
                <c:ptCount val="14"/>
                <c:pt idx="10" formatCode="&quot;$&quot;#,##0.0">
                  <c:v>593.09999999999991</c:v>
                </c:pt>
                <c:pt idx="11" formatCode="&quot;$&quot;#,##0.0">
                  <c:v>306.35309369100167</c:v>
                </c:pt>
                <c:pt idx="12" formatCode="&quot;$&quot;#,##0.0">
                  <c:v>310.78349343392711</c:v>
                </c:pt>
                <c:pt idx="13" formatCode="&quot;$&quot;#,##0.0">
                  <c:v>315.21389317685248</c:v>
                </c:pt>
              </c:numCache>
            </c:numRef>
          </c:val>
          <c:smooth val="0"/>
          <c:extLst>
            <c:ext xmlns:c16="http://schemas.microsoft.com/office/drawing/2014/chart" uri="{C3380CC4-5D6E-409C-BE32-E72D297353CC}">
              <c16:uniqueId val="{00000002-2049-41B7-80ED-2626D4D0F9DE}"/>
            </c:ext>
          </c:extLst>
        </c:ser>
        <c:ser>
          <c:idx val="3"/>
          <c:order val="2"/>
          <c:tx>
            <c:strRef>
              <c:f>'Forecasting trends - Loan Type'!$D$48</c:f>
              <c:strCache>
                <c:ptCount val="1"/>
                <c:pt idx="0">
                  <c:v>Lower Confidence Bound( Dollars Outstanding
(in billions))</c:v>
                </c:pt>
              </c:strCache>
            </c:strRef>
          </c:tx>
          <c:spPr>
            <a:ln w="12700" cap="rnd">
              <a:solidFill>
                <a:srgbClr val="DA1F28"/>
              </a:solidFill>
              <a:prstDash val="solid"/>
              <a:round/>
            </a:ln>
            <a:effectLst/>
          </c:spPr>
          <c:marker>
            <c:symbol val="none"/>
          </c:marker>
          <c:cat>
            <c:strRef>
              <c:f>'Forecasting trends - Loan Type'!$A$48:$A$62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Type'!$D$49:$D$62</c:f>
              <c:numCache>
                <c:formatCode>General</c:formatCode>
                <c:ptCount val="14"/>
                <c:pt idx="10" formatCode="&quot;$&quot;#,##0.0">
                  <c:v>593.09999999999991</c:v>
                </c:pt>
                <c:pt idx="11" formatCode="&quot;$&quot;#,##0.0">
                  <c:v>302.66142579447529</c:v>
                </c:pt>
                <c:pt idx="12" formatCode="&quot;$&quot;#,##0.0">
                  <c:v>306.67676121889872</c:v>
                </c:pt>
                <c:pt idx="13" formatCode="&quot;$&quot;#,##0.0">
                  <c:v>310.72955908808694</c:v>
                </c:pt>
              </c:numCache>
            </c:numRef>
          </c:val>
          <c:smooth val="0"/>
          <c:extLst>
            <c:ext xmlns:c16="http://schemas.microsoft.com/office/drawing/2014/chart" uri="{C3380CC4-5D6E-409C-BE32-E72D297353CC}">
              <c16:uniqueId val="{00000003-2049-41B7-80ED-2626D4D0F9DE}"/>
            </c:ext>
          </c:extLst>
        </c:ser>
        <c:ser>
          <c:idx val="4"/>
          <c:order val="3"/>
          <c:tx>
            <c:strRef>
              <c:f>'Forecasting trends - Loan Type'!$E$48</c:f>
              <c:strCache>
                <c:ptCount val="1"/>
                <c:pt idx="0">
                  <c:v>Upper Confidence Bound( Dollars Outstanding
(in billions))</c:v>
                </c:pt>
              </c:strCache>
            </c:strRef>
          </c:tx>
          <c:spPr>
            <a:ln w="28575" cap="rnd">
              <a:solidFill>
                <a:schemeClr val="accent5"/>
              </a:solidFill>
              <a:round/>
            </a:ln>
            <a:effectLst/>
          </c:spPr>
          <c:marker>
            <c:symbol val="none"/>
          </c:marker>
          <c:cat>
            <c:strRef>
              <c:f>'Forecasting trends - Loan Type'!$A$48:$A$62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Type'!$E$49:$E$62</c:f>
              <c:numCache>
                <c:formatCode>General</c:formatCode>
                <c:ptCount val="14"/>
                <c:pt idx="10" formatCode="&quot;$&quot;#,##0.0">
                  <c:v>593.09999999999991</c:v>
                </c:pt>
                <c:pt idx="11" formatCode="&quot;$&quot;#,##0.0">
                  <c:v>310.04476158752806</c:v>
                </c:pt>
                <c:pt idx="12" formatCode="&quot;$&quot;#,##0.0">
                  <c:v>314.89022564895549</c:v>
                </c:pt>
                <c:pt idx="13" formatCode="&quot;$&quot;#,##0.0">
                  <c:v>319.69822726561802</c:v>
                </c:pt>
              </c:numCache>
            </c:numRef>
          </c:val>
          <c:smooth val="0"/>
          <c:extLst>
            <c:ext xmlns:c16="http://schemas.microsoft.com/office/drawing/2014/chart" uri="{C3380CC4-5D6E-409C-BE32-E72D297353CC}">
              <c16:uniqueId val="{00000004-2049-41B7-80ED-2626D4D0F9DE}"/>
            </c:ext>
          </c:extLst>
        </c:ser>
        <c:dLbls>
          <c:showLegendKey val="0"/>
          <c:showVal val="0"/>
          <c:showCatName val="0"/>
          <c:showSerName val="0"/>
          <c:showPercent val="0"/>
          <c:showBubbleSize val="0"/>
        </c:dLbls>
        <c:smooth val="0"/>
        <c:axId val="386301152"/>
        <c:axId val="386289152"/>
      </c:lineChart>
      <c:catAx>
        <c:axId val="3863011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289152"/>
        <c:crosses val="autoZero"/>
        <c:auto val="1"/>
        <c:lblAlgn val="ctr"/>
        <c:lblOffset val="100"/>
        <c:noMultiLvlLbl val="0"/>
      </c:catAx>
      <c:valAx>
        <c:axId val="38628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01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 trends - Loan Type'!$B$48</c:f>
              <c:strCache>
                <c:ptCount val="1"/>
                <c:pt idx="0">
                  <c:v> Dollars Outstanding
(in billions)</c:v>
                </c:pt>
              </c:strCache>
            </c:strRef>
          </c:tx>
          <c:spPr>
            <a:ln w="28575" cap="rnd">
              <a:solidFill>
                <a:schemeClr val="accent1"/>
              </a:solidFill>
              <a:round/>
            </a:ln>
            <a:effectLst/>
          </c:spPr>
          <c:marker>
            <c:symbol val="none"/>
          </c:marker>
          <c:cat>
            <c:strRef>
              <c:f>'Forecasting trends - Loan Type'!$A$48:$A$58</c:f>
              <c:strCache>
                <c:ptCount val="11"/>
                <c:pt idx="0">
                  <c:v>Federal Fiscal Year</c:v>
                </c:pt>
                <c:pt idx="1">
                  <c:v>2014</c:v>
                </c:pt>
                <c:pt idx="2">
                  <c:v>2015</c:v>
                </c:pt>
                <c:pt idx="3">
                  <c:v>2016</c:v>
                </c:pt>
                <c:pt idx="4">
                  <c:v>2017</c:v>
                </c:pt>
                <c:pt idx="5">
                  <c:v>2018</c:v>
                </c:pt>
                <c:pt idx="6">
                  <c:v>2019</c:v>
                </c:pt>
                <c:pt idx="7">
                  <c:v>2020</c:v>
                </c:pt>
                <c:pt idx="8">
                  <c:v>2021</c:v>
                </c:pt>
                <c:pt idx="9">
                  <c:v>2022</c:v>
                </c:pt>
                <c:pt idx="10">
                  <c:v>2023</c:v>
                </c:pt>
              </c:strCache>
            </c:strRef>
          </c:cat>
          <c:val>
            <c:numRef>
              <c:f>'Forecasting trends - Loan Type'!$B$49:$B$58</c:f>
              <c:numCache>
                <c:formatCode>"$"#,##0.0</c:formatCode>
                <c:ptCount val="10"/>
                <c:pt idx="0">
                  <c:v>358.86666666666673</c:v>
                </c:pt>
                <c:pt idx="1">
                  <c:v>389.27499999999998</c:v>
                </c:pt>
                <c:pt idx="2">
                  <c:v>422</c:v>
                </c:pt>
                <c:pt idx="3">
                  <c:v>449.70000000000005</c:v>
                </c:pt>
                <c:pt idx="4">
                  <c:v>476.82499999999999</c:v>
                </c:pt>
                <c:pt idx="5">
                  <c:v>503.65</c:v>
                </c:pt>
                <c:pt idx="6">
                  <c:v>528.42499999999995</c:v>
                </c:pt>
                <c:pt idx="7">
                  <c:v>552.27499999999998</c:v>
                </c:pt>
                <c:pt idx="8">
                  <c:v>571.29999999999995</c:v>
                </c:pt>
                <c:pt idx="9">
                  <c:v>583.22500000000002</c:v>
                </c:pt>
              </c:numCache>
            </c:numRef>
          </c:val>
          <c:smooth val="0"/>
          <c:extLst>
            <c:ext xmlns:c16="http://schemas.microsoft.com/office/drawing/2014/chart" uri="{C3380CC4-5D6E-409C-BE32-E72D297353CC}">
              <c16:uniqueId val="{00000000-3A55-44CF-8EAE-C08A6D6C97DF}"/>
            </c:ext>
          </c:extLst>
        </c:ser>
        <c:dLbls>
          <c:showLegendKey val="0"/>
          <c:showVal val="0"/>
          <c:showCatName val="0"/>
          <c:showSerName val="0"/>
          <c:showPercent val="0"/>
          <c:showBubbleSize val="0"/>
        </c:dLbls>
        <c:smooth val="0"/>
        <c:axId val="386310752"/>
        <c:axId val="386311232"/>
      </c:lineChart>
      <c:catAx>
        <c:axId val="38631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11232"/>
        <c:crosses val="autoZero"/>
        <c:auto val="1"/>
        <c:lblAlgn val="ctr"/>
        <c:lblOffset val="100"/>
        <c:noMultiLvlLbl val="0"/>
      </c:catAx>
      <c:valAx>
        <c:axId val="3863112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10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strRef>
              <c:f>'Forecasting trends - Loan Type'!$B$91</c:f>
              <c:strCache>
                <c:ptCount val="1"/>
                <c:pt idx="0">
                  <c:v> Dollars Outstanding
(in billions)</c:v>
                </c:pt>
              </c:strCache>
            </c:strRef>
          </c:tx>
          <c:spPr>
            <a:ln w="25400" cap="rnd">
              <a:solidFill>
                <a:schemeClr val="accent2"/>
              </a:solidFill>
              <a:round/>
            </a:ln>
            <a:effectLst/>
          </c:spPr>
          <c:marker>
            <c:symbol val="none"/>
          </c:marker>
          <c:cat>
            <c:strRef>
              <c:f>'Forecasting trends - Loan Type'!$A$91:$A$105</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Type'!$B$92:$B$105</c:f>
              <c:numCache>
                <c:formatCode>"$"#,##0.0_);[Red]\("$"#,##0.0\)</c:formatCode>
                <c:ptCount val="14"/>
                <c:pt idx="0">
                  <c:v>614.9666666666667</c:v>
                </c:pt>
                <c:pt idx="1">
                  <c:v>650.875</c:v>
                </c:pt>
                <c:pt idx="2">
                  <c:v>689.5</c:v>
                </c:pt>
                <c:pt idx="3">
                  <c:v>720.8</c:v>
                </c:pt>
                <c:pt idx="4">
                  <c:v>751.92499999999995</c:v>
                </c:pt>
                <c:pt idx="5">
                  <c:v>782.375</c:v>
                </c:pt>
                <c:pt idx="6">
                  <c:v>811.02500000000009</c:v>
                </c:pt>
                <c:pt idx="7">
                  <c:v>841.07499999999993</c:v>
                </c:pt>
                <c:pt idx="8">
                  <c:v>863.80000000000007</c:v>
                </c:pt>
                <c:pt idx="9">
                  <c:v>878.27499999999998</c:v>
                </c:pt>
                <c:pt idx="10">
                  <c:v>886.82500000000005</c:v>
                </c:pt>
              </c:numCache>
            </c:numRef>
          </c:val>
          <c:smooth val="0"/>
          <c:extLst>
            <c:ext xmlns:c16="http://schemas.microsoft.com/office/drawing/2014/chart" uri="{C3380CC4-5D6E-409C-BE32-E72D297353CC}">
              <c16:uniqueId val="{00000001-79A8-4B0A-8F86-CD3CDE38CBBD}"/>
            </c:ext>
          </c:extLst>
        </c:ser>
        <c:ser>
          <c:idx val="2"/>
          <c:order val="1"/>
          <c:tx>
            <c:strRef>
              <c:f>'Forecasting trends - Loan Type'!$C$91</c:f>
              <c:strCache>
                <c:ptCount val="1"/>
                <c:pt idx="0">
                  <c:v>Forecast( Dollars Outstanding
(in billions))</c:v>
                </c:pt>
              </c:strCache>
            </c:strRef>
          </c:tx>
          <c:spPr>
            <a:ln w="12700" cap="rnd">
              <a:solidFill>
                <a:srgbClr val="DA1F28"/>
              </a:solidFill>
              <a:prstDash val="solid"/>
              <a:round/>
            </a:ln>
            <a:effectLst/>
          </c:spPr>
          <c:marker>
            <c:symbol val="none"/>
          </c:marker>
          <c:cat>
            <c:strRef>
              <c:f>'Forecasting trends - Loan Type'!$A$91:$A$105</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Type'!$C$92:$C$105</c:f>
              <c:numCache>
                <c:formatCode>General</c:formatCode>
                <c:ptCount val="14"/>
                <c:pt idx="10" formatCode="&quot;$&quot;#,##0.0_);[Red]\(&quot;$&quot;#,##0.0\)">
                  <c:v>886.82500000000005</c:v>
                </c:pt>
                <c:pt idx="11" formatCode="&quot;$&quot;#,##0.0_);[Red]\(&quot;$&quot;#,##0.0\)">
                  <c:v>306.35309369100167</c:v>
                </c:pt>
                <c:pt idx="12" formatCode="&quot;$&quot;#,##0.0_);[Red]\(&quot;$&quot;#,##0.0\)">
                  <c:v>310.78349343392711</c:v>
                </c:pt>
                <c:pt idx="13" formatCode="&quot;$&quot;#,##0.0_);[Red]\(&quot;$&quot;#,##0.0\)">
                  <c:v>315.21389317685248</c:v>
                </c:pt>
              </c:numCache>
            </c:numRef>
          </c:val>
          <c:smooth val="0"/>
          <c:extLst>
            <c:ext xmlns:c16="http://schemas.microsoft.com/office/drawing/2014/chart" uri="{C3380CC4-5D6E-409C-BE32-E72D297353CC}">
              <c16:uniqueId val="{00000002-79A8-4B0A-8F86-CD3CDE38CBBD}"/>
            </c:ext>
          </c:extLst>
        </c:ser>
        <c:ser>
          <c:idx val="3"/>
          <c:order val="2"/>
          <c:tx>
            <c:strRef>
              <c:f>'Forecasting trends - Loan Type'!$D$91</c:f>
              <c:strCache>
                <c:ptCount val="1"/>
                <c:pt idx="0">
                  <c:v>Lower Confidence Bound( Dollars Outstanding
(in billions))</c:v>
                </c:pt>
              </c:strCache>
            </c:strRef>
          </c:tx>
          <c:spPr>
            <a:ln w="12700" cap="rnd">
              <a:solidFill>
                <a:srgbClr val="DA1F28"/>
              </a:solidFill>
              <a:prstDash val="solid"/>
              <a:round/>
            </a:ln>
            <a:effectLst/>
          </c:spPr>
          <c:marker>
            <c:symbol val="none"/>
          </c:marker>
          <c:cat>
            <c:strRef>
              <c:f>'Forecasting trends - Loan Type'!$A$91:$A$105</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Type'!$D$92:$D$105</c:f>
              <c:numCache>
                <c:formatCode>General</c:formatCode>
                <c:ptCount val="14"/>
                <c:pt idx="10" formatCode="&quot;$&quot;#,##0.0_);[Red]\(&quot;$&quot;#,##0.0\)">
                  <c:v>886.82500000000005</c:v>
                </c:pt>
                <c:pt idx="11" formatCode="&quot;$&quot;#,##0.0_);[Red]\(&quot;$&quot;#,##0.0\)">
                  <c:v>302.66142579447529</c:v>
                </c:pt>
                <c:pt idx="12" formatCode="&quot;$&quot;#,##0.0_);[Red]\(&quot;$&quot;#,##0.0\)">
                  <c:v>306.67676121889872</c:v>
                </c:pt>
                <c:pt idx="13" formatCode="&quot;$&quot;#,##0.0_);[Red]\(&quot;$&quot;#,##0.0\)">
                  <c:v>310.72955908808694</c:v>
                </c:pt>
              </c:numCache>
            </c:numRef>
          </c:val>
          <c:smooth val="0"/>
          <c:extLst>
            <c:ext xmlns:c16="http://schemas.microsoft.com/office/drawing/2014/chart" uri="{C3380CC4-5D6E-409C-BE32-E72D297353CC}">
              <c16:uniqueId val="{00000003-79A8-4B0A-8F86-CD3CDE38CBBD}"/>
            </c:ext>
          </c:extLst>
        </c:ser>
        <c:ser>
          <c:idx val="4"/>
          <c:order val="3"/>
          <c:tx>
            <c:strRef>
              <c:f>'Forecasting trends - Loan Type'!$E$91</c:f>
              <c:strCache>
                <c:ptCount val="1"/>
                <c:pt idx="0">
                  <c:v>Upper Confidence Bound( Dollars Outstanding
(in billions))</c:v>
                </c:pt>
              </c:strCache>
            </c:strRef>
          </c:tx>
          <c:spPr>
            <a:ln w="28575" cap="rnd">
              <a:solidFill>
                <a:schemeClr val="accent5"/>
              </a:solidFill>
              <a:round/>
            </a:ln>
            <a:effectLst/>
          </c:spPr>
          <c:marker>
            <c:symbol val="none"/>
          </c:marker>
          <c:cat>
            <c:strRef>
              <c:f>'Forecasting trends - Loan Type'!$A$91:$A$105</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Type'!$E$92:$E$105</c:f>
              <c:numCache>
                <c:formatCode>General</c:formatCode>
                <c:ptCount val="14"/>
                <c:pt idx="10" formatCode="&quot;$&quot;#,##0.0_);[Red]\(&quot;$&quot;#,##0.0\)">
                  <c:v>886.82500000000005</c:v>
                </c:pt>
                <c:pt idx="11" formatCode="&quot;$&quot;#,##0.0_);[Red]\(&quot;$&quot;#,##0.0\)">
                  <c:v>310.04476158752806</c:v>
                </c:pt>
                <c:pt idx="12" formatCode="&quot;$&quot;#,##0.0_);[Red]\(&quot;$&quot;#,##0.0\)">
                  <c:v>314.89022564895549</c:v>
                </c:pt>
                <c:pt idx="13" formatCode="&quot;$&quot;#,##0.0_);[Red]\(&quot;$&quot;#,##0.0\)">
                  <c:v>319.69822726561802</c:v>
                </c:pt>
              </c:numCache>
            </c:numRef>
          </c:val>
          <c:smooth val="0"/>
          <c:extLst>
            <c:ext xmlns:c16="http://schemas.microsoft.com/office/drawing/2014/chart" uri="{C3380CC4-5D6E-409C-BE32-E72D297353CC}">
              <c16:uniqueId val="{00000005-79A8-4B0A-8F86-CD3CDE38CBBD}"/>
            </c:ext>
          </c:extLst>
        </c:ser>
        <c:dLbls>
          <c:showLegendKey val="0"/>
          <c:showVal val="0"/>
          <c:showCatName val="0"/>
          <c:showSerName val="0"/>
          <c:showPercent val="0"/>
          <c:showBubbleSize val="0"/>
        </c:dLbls>
        <c:smooth val="0"/>
        <c:axId val="386306432"/>
        <c:axId val="386305952"/>
      </c:lineChart>
      <c:catAx>
        <c:axId val="3863064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05952"/>
        <c:crosses val="autoZero"/>
        <c:auto val="1"/>
        <c:lblAlgn val="ctr"/>
        <c:lblOffset val="100"/>
        <c:noMultiLvlLbl val="0"/>
      </c:catAx>
      <c:valAx>
        <c:axId val="3863059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0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 trends - Loan Type'!$B$91</c:f>
              <c:strCache>
                <c:ptCount val="1"/>
                <c:pt idx="0">
                  <c:v> Dollars Outstanding
(in billions)</c:v>
                </c:pt>
              </c:strCache>
            </c:strRef>
          </c:tx>
          <c:spPr>
            <a:ln w="28575" cap="rnd">
              <a:solidFill>
                <a:schemeClr val="accent1"/>
              </a:solidFill>
              <a:round/>
            </a:ln>
            <a:effectLst/>
          </c:spPr>
          <c:marker>
            <c:symbol val="none"/>
          </c:marker>
          <c:cat>
            <c:strRef>
              <c:f>'Forecasting trends - Loan Type'!$A$91:$A$101</c:f>
              <c:strCache>
                <c:ptCount val="11"/>
                <c:pt idx="0">
                  <c:v>Federal Fiscal Year</c:v>
                </c:pt>
                <c:pt idx="1">
                  <c:v>2014</c:v>
                </c:pt>
                <c:pt idx="2">
                  <c:v>2015</c:v>
                </c:pt>
                <c:pt idx="3">
                  <c:v>2016</c:v>
                </c:pt>
                <c:pt idx="4">
                  <c:v>2017</c:v>
                </c:pt>
                <c:pt idx="5">
                  <c:v>2018</c:v>
                </c:pt>
                <c:pt idx="6">
                  <c:v>2019</c:v>
                </c:pt>
                <c:pt idx="7">
                  <c:v>2020</c:v>
                </c:pt>
                <c:pt idx="8">
                  <c:v>2021</c:v>
                </c:pt>
                <c:pt idx="9">
                  <c:v>2022</c:v>
                </c:pt>
                <c:pt idx="10">
                  <c:v>2023</c:v>
                </c:pt>
              </c:strCache>
            </c:strRef>
          </c:cat>
          <c:val>
            <c:numRef>
              <c:f>'Forecasting trends - Loan Type'!$B$92:$B$101</c:f>
              <c:numCache>
                <c:formatCode>"$"#,##0.0_);[Red]\("$"#,##0.0\)</c:formatCode>
                <c:ptCount val="10"/>
                <c:pt idx="0">
                  <c:v>614.9666666666667</c:v>
                </c:pt>
                <c:pt idx="1">
                  <c:v>650.875</c:v>
                </c:pt>
                <c:pt idx="2">
                  <c:v>689.5</c:v>
                </c:pt>
                <c:pt idx="3">
                  <c:v>720.8</c:v>
                </c:pt>
                <c:pt idx="4">
                  <c:v>751.92499999999995</c:v>
                </c:pt>
                <c:pt idx="5">
                  <c:v>782.375</c:v>
                </c:pt>
                <c:pt idx="6">
                  <c:v>811.02500000000009</c:v>
                </c:pt>
                <c:pt idx="7">
                  <c:v>841.07499999999993</c:v>
                </c:pt>
                <c:pt idx="8">
                  <c:v>863.80000000000007</c:v>
                </c:pt>
                <c:pt idx="9">
                  <c:v>878.27499999999998</c:v>
                </c:pt>
              </c:numCache>
            </c:numRef>
          </c:val>
          <c:smooth val="0"/>
          <c:extLst>
            <c:ext xmlns:c16="http://schemas.microsoft.com/office/drawing/2014/chart" uri="{C3380CC4-5D6E-409C-BE32-E72D297353CC}">
              <c16:uniqueId val="{00000000-A2AC-4783-8828-20F06EED4042}"/>
            </c:ext>
          </c:extLst>
        </c:ser>
        <c:dLbls>
          <c:showLegendKey val="0"/>
          <c:showVal val="0"/>
          <c:showCatName val="0"/>
          <c:showSerName val="0"/>
          <c:showPercent val="0"/>
          <c:showBubbleSize val="0"/>
        </c:dLbls>
        <c:smooth val="0"/>
        <c:axId val="386337152"/>
        <c:axId val="386340512"/>
      </c:lineChart>
      <c:catAx>
        <c:axId val="38633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40512"/>
        <c:crosses val="autoZero"/>
        <c:auto val="1"/>
        <c:lblAlgn val="ctr"/>
        <c:lblOffset val="100"/>
        <c:noMultiLvlLbl val="0"/>
      </c:catAx>
      <c:valAx>
        <c:axId val="3863405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37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'Forecasting trends - Loan Type'!$B$128</c:f>
              <c:strCache>
                <c:ptCount val="1"/>
                <c:pt idx="0">
                  <c:v> Dollars Outstanding
(in billions)</c:v>
                </c:pt>
              </c:strCache>
            </c:strRef>
          </c:tx>
          <c:spPr>
            <a:ln w="28575" cap="rnd">
              <a:solidFill>
                <a:schemeClr val="accent1"/>
              </a:solidFill>
              <a:round/>
            </a:ln>
            <a:effectLst/>
          </c:spPr>
          <c:marker>
            <c:symbol val="none"/>
          </c:marker>
          <c:cat>
            <c:strRef>
              <c:f>'Forecasting trends - Loan Type'!$A$128:$A$142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Type'!$B$129:$B$142</c:f>
              <c:numCache>
                <c:formatCode>"$"#,##0.0</c:formatCode>
                <c:ptCount val="14"/>
                <c:pt idx="0">
                  <c:v>39.200000000000003</c:v>
                </c:pt>
                <c:pt idx="1">
                  <c:v>43.800000000000004</c:v>
                </c:pt>
                <c:pt idx="2">
                  <c:v>49.8</c:v>
                </c:pt>
                <c:pt idx="3">
                  <c:v>56.2</c:v>
                </c:pt>
                <c:pt idx="4">
                  <c:v>63.324999999999996</c:v>
                </c:pt>
                <c:pt idx="5">
                  <c:v>72.275000000000006</c:v>
                </c:pt>
                <c:pt idx="6">
                  <c:v>79.100000000000009</c:v>
                </c:pt>
                <c:pt idx="7">
                  <c:v>86.75</c:v>
                </c:pt>
                <c:pt idx="8">
                  <c:v>94.35</c:v>
                </c:pt>
                <c:pt idx="9">
                  <c:v>100.825</c:v>
                </c:pt>
                <c:pt idx="10">
                  <c:v>107.67500000000001</c:v>
                </c:pt>
              </c:numCache>
            </c:numRef>
          </c:val>
          <c:smooth val="0"/>
          <c:extLst>
            <c:ext xmlns:c16="http://schemas.microsoft.com/office/drawing/2014/chart" uri="{C3380CC4-5D6E-409C-BE32-E72D297353CC}">
              <c16:uniqueId val="{00000000-0553-4247-8F36-B7E832634367}"/>
            </c:ext>
          </c:extLst>
        </c:ser>
        <c:ser>
          <c:idx val="1"/>
          <c:order val="1"/>
          <c:tx>
            <c:strRef>
              <c:f>'Forecasting trends - Loan Type'!$C$128</c:f>
              <c:strCache>
                <c:ptCount val="1"/>
                <c:pt idx="0">
                  <c:v>Forecast( Dollars Outstanding
(in billions))</c:v>
                </c:pt>
              </c:strCache>
            </c:strRef>
          </c:tx>
          <c:spPr>
            <a:ln w="25400" cap="rnd">
              <a:solidFill>
                <a:schemeClr val="accent2"/>
              </a:solidFill>
              <a:round/>
            </a:ln>
            <a:effectLst/>
          </c:spPr>
          <c:marker>
            <c:symbol val="none"/>
          </c:marker>
          <c:cat>
            <c:strRef>
              <c:f>'Forecasting trends - Loan Type'!$A$128:$A$142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Type'!$C$129:$C$142</c:f>
              <c:numCache>
                <c:formatCode>General</c:formatCode>
                <c:ptCount val="14"/>
                <c:pt idx="10" formatCode="&quot;$&quot;#,##0.0">
                  <c:v>107.67500000000001</c:v>
                </c:pt>
                <c:pt idx="11" formatCode="&quot;$&quot;#,##0.0">
                  <c:v>306.35309369100167</c:v>
                </c:pt>
                <c:pt idx="12" formatCode="&quot;$&quot;#,##0.0">
                  <c:v>310.78349343392711</c:v>
                </c:pt>
                <c:pt idx="13" formatCode="&quot;$&quot;#,##0.0">
                  <c:v>315.21389317685248</c:v>
                </c:pt>
              </c:numCache>
            </c:numRef>
          </c:val>
          <c:smooth val="0"/>
          <c:extLst>
            <c:ext xmlns:c16="http://schemas.microsoft.com/office/drawing/2014/chart" uri="{C3380CC4-5D6E-409C-BE32-E72D297353CC}">
              <c16:uniqueId val="{00000001-0553-4247-8F36-B7E832634367}"/>
            </c:ext>
          </c:extLst>
        </c:ser>
        <c:ser>
          <c:idx val="2"/>
          <c:order val="2"/>
          <c:tx>
            <c:strRef>
              <c:f>'Forecasting trends - Loan Type'!$D$128</c:f>
              <c:strCache>
                <c:ptCount val="1"/>
                <c:pt idx="0">
                  <c:v>Lower Confidence Bound( Dollars Outstanding
(in billions))</c:v>
                </c:pt>
              </c:strCache>
            </c:strRef>
          </c:tx>
          <c:spPr>
            <a:ln w="12700" cap="rnd">
              <a:solidFill>
                <a:srgbClr val="DA1F28"/>
              </a:solidFill>
              <a:prstDash val="solid"/>
              <a:round/>
            </a:ln>
            <a:effectLst/>
          </c:spPr>
          <c:marker>
            <c:symbol val="none"/>
          </c:marker>
          <c:cat>
            <c:strRef>
              <c:f>'Forecasting trends - Loan Type'!$A$128:$A$142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Type'!$D$129:$D$142</c:f>
              <c:numCache>
                <c:formatCode>General</c:formatCode>
                <c:ptCount val="14"/>
                <c:pt idx="10" formatCode="&quot;$&quot;#,##0.0">
                  <c:v>107.67500000000001</c:v>
                </c:pt>
                <c:pt idx="11" formatCode="&quot;$&quot;#,##0.0">
                  <c:v>302.66142579447529</c:v>
                </c:pt>
                <c:pt idx="12" formatCode="&quot;$&quot;#,##0.0">
                  <c:v>306.67676121889872</c:v>
                </c:pt>
                <c:pt idx="13" formatCode="&quot;$&quot;#,##0.0">
                  <c:v>310.72955908808694</c:v>
                </c:pt>
              </c:numCache>
            </c:numRef>
          </c:val>
          <c:smooth val="0"/>
          <c:extLst>
            <c:ext xmlns:c16="http://schemas.microsoft.com/office/drawing/2014/chart" uri="{C3380CC4-5D6E-409C-BE32-E72D297353CC}">
              <c16:uniqueId val="{00000002-0553-4247-8F36-B7E832634367}"/>
            </c:ext>
          </c:extLst>
        </c:ser>
        <c:ser>
          <c:idx val="3"/>
          <c:order val="3"/>
          <c:tx>
            <c:strRef>
              <c:f>'Forecasting trends - Loan Type'!$E$128</c:f>
              <c:strCache>
                <c:ptCount val="1"/>
                <c:pt idx="0">
                  <c:v>Upper Confidence Bound( Dollars Outstanding
(in billions))</c:v>
                </c:pt>
              </c:strCache>
            </c:strRef>
          </c:tx>
          <c:spPr>
            <a:ln w="12700" cap="rnd">
              <a:solidFill>
                <a:srgbClr val="DA1F28"/>
              </a:solidFill>
              <a:prstDash val="solid"/>
              <a:round/>
            </a:ln>
            <a:effectLst/>
          </c:spPr>
          <c:marker>
            <c:symbol val="none"/>
          </c:marker>
          <c:cat>
            <c:strRef>
              <c:f>'Forecasting trends - Loan Type'!$A$128:$A$142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Type'!$E$129:$E$142</c:f>
              <c:numCache>
                <c:formatCode>General</c:formatCode>
                <c:ptCount val="14"/>
                <c:pt idx="10" formatCode="&quot;$&quot;#,##0.0">
                  <c:v>107.67500000000001</c:v>
                </c:pt>
                <c:pt idx="11" formatCode="&quot;$&quot;#,##0.0">
                  <c:v>310.04476158752806</c:v>
                </c:pt>
                <c:pt idx="12" formatCode="&quot;$&quot;#,##0.0">
                  <c:v>314.89022564895549</c:v>
                </c:pt>
                <c:pt idx="13" formatCode="&quot;$&quot;#,##0.0">
                  <c:v>319.69822726561802</c:v>
                </c:pt>
              </c:numCache>
            </c:numRef>
          </c:val>
          <c:smooth val="0"/>
          <c:extLst>
            <c:ext xmlns:c16="http://schemas.microsoft.com/office/drawing/2014/chart" uri="{C3380CC4-5D6E-409C-BE32-E72D297353CC}">
              <c16:uniqueId val="{00000003-0553-4247-8F36-B7E832634367}"/>
            </c:ext>
          </c:extLst>
        </c:ser>
        <c:dLbls>
          <c:showLegendKey val="0"/>
          <c:showVal val="0"/>
          <c:showCatName val="0"/>
          <c:showSerName val="0"/>
          <c:showPercent val="0"/>
          <c:showBubbleSize val="0"/>
        </c:dLbls>
        <c:smooth val="0"/>
        <c:axId val="386308832"/>
        <c:axId val="386309312"/>
      </c:lineChart>
      <c:catAx>
        <c:axId val="3863088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09312"/>
        <c:crosses val="autoZero"/>
        <c:auto val="1"/>
        <c:lblAlgn val="ctr"/>
        <c:lblOffset val="100"/>
        <c:noMultiLvlLbl val="0"/>
      </c:catAx>
      <c:valAx>
        <c:axId val="3863093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08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 trends - Loan Type'!$B$128</c:f>
              <c:strCache>
                <c:ptCount val="1"/>
                <c:pt idx="0">
                  <c:v> Dollars Outstanding
(in billions)</c:v>
                </c:pt>
              </c:strCache>
            </c:strRef>
          </c:tx>
          <c:spPr>
            <a:ln w="28575" cap="rnd">
              <a:solidFill>
                <a:schemeClr val="accent1"/>
              </a:solidFill>
              <a:round/>
            </a:ln>
            <a:effectLst/>
          </c:spPr>
          <c:marker>
            <c:symbol val="none"/>
          </c:marker>
          <c:cat>
            <c:strRef>
              <c:f>'Forecasting trends - Loan Type'!$A$128:$A$138</c:f>
              <c:strCache>
                <c:ptCount val="11"/>
                <c:pt idx="0">
                  <c:v>Federal Fiscal Year</c:v>
                </c:pt>
                <c:pt idx="1">
                  <c:v>2014</c:v>
                </c:pt>
                <c:pt idx="2">
                  <c:v>2015</c:v>
                </c:pt>
                <c:pt idx="3">
                  <c:v>2016</c:v>
                </c:pt>
                <c:pt idx="4">
                  <c:v>2017</c:v>
                </c:pt>
                <c:pt idx="5">
                  <c:v>2018</c:v>
                </c:pt>
                <c:pt idx="6">
                  <c:v>2019</c:v>
                </c:pt>
                <c:pt idx="7">
                  <c:v>2020</c:v>
                </c:pt>
                <c:pt idx="8">
                  <c:v>2021</c:v>
                </c:pt>
                <c:pt idx="9">
                  <c:v>2022</c:v>
                </c:pt>
                <c:pt idx="10">
                  <c:v>2023</c:v>
                </c:pt>
              </c:strCache>
            </c:strRef>
          </c:cat>
          <c:val>
            <c:numRef>
              <c:f>'Forecasting trends - Loan Type'!$B$129:$B$138</c:f>
              <c:numCache>
                <c:formatCode>"$"#,##0.0</c:formatCode>
                <c:ptCount val="10"/>
                <c:pt idx="0">
                  <c:v>39.200000000000003</c:v>
                </c:pt>
                <c:pt idx="1">
                  <c:v>43.800000000000004</c:v>
                </c:pt>
                <c:pt idx="2">
                  <c:v>49.8</c:v>
                </c:pt>
                <c:pt idx="3">
                  <c:v>56.2</c:v>
                </c:pt>
                <c:pt idx="4">
                  <c:v>63.324999999999996</c:v>
                </c:pt>
                <c:pt idx="5">
                  <c:v>72.275000000000006</c:v>
                </c:pt>
                <c:pt idx="6">
                  <c:v>79.100000000000009</c:v>
                </c:pt>
                <c:pt idx="7">
                  <c:v>86.75</c:v>
                </c:pt>
                <c:pt idx="8">
                  <c:v>94.35</c:v>
                </c:pt>
                <c:pt idx="9">
                  <c:v>100.825</c:v>
                </c:pt>
              </c:numCache>
            </c:numRef>
          </c:val>
          <c:smooth val="0"/>
          <c:extLst>
            <c:ext xmlns:c16="http://schemas.microsoft.com/office/drawing/2014/chart" uri="{C3380CC4-5D6E-409C-BE32-E72D297353CC}">
              <c16:uniqueId val="{00000000-210D-4F47-9713-C46525D0E33A}"/>
            </c:ext>
          </c:extLst>
        </c:ser>
        <c:dLbls>
          <c:showLegendKey val="0"/>
          <c:showVal val="0"/>
          <c:showCatName val="0"/>
          <c:showSerName val="0"/>
          <c:showPercent val="0"/>
          <c:showBubbleSize val="0"/>
        </c:dLbls>
        <c:smooth val="0"/>
        <c:axId val="386305952"/>
        <c:axId val="386313632"/>
      </c:lineChart>
      <c:catAx>
        <c:axId val="38630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13632"/>
        <c:crosses val="autoZero"/>
        <c:auto val="1"/>
        <c:lblAlgn val="ctr"/>
        <c:lblOffset val="100"/>
        <c:noMultiLvlLbl val="0"/>
      </c:catAx>
      <c:valAx>
        <c:axId val="38631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05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'Forecasting trends - Loan Type'!$B$168</c:f>
              <c:strCache>
                <c:ptCount val="1"/>
                <c:pt idx="0">
                  <c:v> Dollars Outstanding
(in billions)</c:v>
                </c:pt>
              </c:strCache>
            </c:strRef>
          </c:tx>
          <c:spPr>
            <a:ln w="28575" cap="rnd">
              <a:solidFill>
                <a:schemeClr val="accent1"/>
              </a:solidFill>
              <a:round/>
            </a:ln>
            <a:effectLst/>
          </c:spPr>
          <c:marker>
            <c:symbol val="none"/>
          </c:marker>
          <c:cat>
            <c:strRef>
              <c:f>'Forecasting trends - Loan Type'!$A$168:$A$182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Type'!$B$169:$B$182</c:f>
              <c:numCache>
                <c:formatCode>"$"#,##0.0_);[Red]\("$"#,##0.0\)</c:formatCode>
                <c:ptCount val="14"/>
                <c:pt idx="0">
                  <c:v>63.066666666666663</c:v>
                </c:pt>
                <c:pt idx="1">
                  <c:v>68.224999999999994</c:v>
                </c:pt>
                <c:pt idx="2">
                  <c:v>74.650000000000006</c:v>
                </c:pt>
                <c:pt idx="3">
                  <c:v>80.849999999999994</c:v>
                </c:pt>
                <c:pt idx="4">
                  <c:v>87</c:v>
                </c:pt>
                <c:pt idx="5">
                  <c:v>93.174999999999997</c:v>
                </c:pt>
                <c:pt idx="6">
                  <c:v>98.525000000000006</c:v>
                </c:pt>
                <c:pt idx="7">
                  <c:v>103.02499999999999</c:v>
                </c:pt>
                <c:pt idx="8">
                  <c:v>106.72500000000001</c:v>
                </c:pt>
                <c:pt idx="9">
                  <c:v>110.69999999999999</c:v>
                </c:pt>
                <c:pt idx="10">
                  <c:v>108.6</c:v>
                </c:pt>
              </c:numCache>
            </c:numRef>
          </c:val>
          <c:smooth val="0"/>
          <c:extLst>
            <c:ext xmlns:c16="http://schemas.microsoft.com/office/drawing/2014/chart" uri="{C3380CC4-5D6E-409C-BE32-E72D297353CC}">
              <c16:uniqueId val="{00000000-33E0-494D-8DB8-70620F7F78F3}"/>
            </c:ext>
          </c:extLst>
        </c:ser>
        <c:ser>
          <c:idx val="1"/>
          <c:order val="1"/>
          <c:tx>
            <c:strRef>
              <c:f>'Forecasting trends - Loan Type'!$C$168</c:f>
              <c:strCache>
                <c:ptCount val="1"/>
                <c:pt idx="0">
                  <c:v>Forecast( Dollars Outstanding
(in billions))</c:v>
                </c:pt>
              </c:strCache>
            </c:strRef>
          </c:tx>
          <c:spPr>
            <a:ln w="25400" cap="rnd">
              <a:solidFill>
                <a:schemeClr val="accent2"/>
              </a:solidFill>
              <a:round/>
            </a:ln>
            <a:effectLst/>
          </c:spPr>
          <c:marker>
            <c:symbol val="none"/>
          </c:marker>
          <c:cat>
            <c:strRef>
              <c:f>'Forecasting trends - Loan Type'!$A$168:$A$182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Type'!$C$169:$C$182</c:f>
              <c:numCache>
                <c:formatCode>General</c:formatCode>
                <c:ptCount val="14"/>
                <c:pt idx="10" formatCode="&quot;$&quot;#,##0.0_);[Red]\(&quot;$&quot;#,##0.0\)">
                  <c:v>108.6</c:v>
                </c:pt>
                <c:pt idx="11" formatCode="&quot;$&quot;#,##0.0_);[Red]\(&quot;$&quot;#,##0.0\)">
                  <c:v>306.35309369100167</c:v>
                </c:pt>
                <c:pt idx="12" formatCode="&quot;$&quot;#,##0.0_);[Red]\(&quot;$&quot;#,##0.0\)">
                  <c:v>310.78349343392711</c:v>
                </c:pt>
                <c:pt idx="13" formatCode="&quot;$&quot;#,##0.0_);[Red]\(&quot;$&quot;#,##0.0\)">
                  <c:v>315.21389317685248</c:v>
                </c:pt>
              </c:numCache>
            </c:numRef>
          </c:val>
          <c:smooth val="0"/>
          <c:extLst>
            <c:ext xmlns:c16="http://schemas.microsoft.com/office/drawing/2014/chart" uri="{C3380CC4-5D6E-409C-BE32-E72D297353CC}">
              <c16:uniqueId val="{00000001-33E0-494D-8DB8-70620F7F78F3}"/>
            </c:ext>
          </c:extLst>
        </c:ser>
        <c:ser>
          <c:idx val="2"/>
          <c:order val="2"/>
          <c:tx>
            <c:strRef>
              <c:f>'Forecasting trends - Loan Type'!$D$168</c:f>
              <c:strCache>
                <c:ptCount val="1"/>
                <c:pt idx="0">
                  <c:v>Lower Confidence Bound( Dollars Outstanding
(in billions))</c:v>
                </c:pt>
              </c:strCache>
            </c:strRef>
          </c:tx>
          <c:spPr>
            <a:ln w="12700" cap="rnd">
              <a:solidFill>
                <a:srgbClr val="DA1F28"/>
              </a:solidFill>
              <a:prstDash val="solid"/>
              <a:round/>
            </a:ln>
            <a:effectLst/>
          </c:spPr>
          <c:marker>
            <c:symbol val="none"/>
          </c:marker>
          <c:cat>
            <c:strRef>
              <c:f>'Forecasting trends - Loan Type'!$A$168:$A$182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Type'!$D$169:$D$182</c:f>
              <c:numCache>
                <c:formatCode>General</c:formatCode>
                <c:ptCount val="14"/>
                <c:pt idx="10" formatCode="&quot;$&quot;#,##0.0_);[Red]\(&quot;$&quot;#,##0.0\)">
                  <c:v>108.6</c:v>
                </c:pt>
                <c:pt idx="11" formatCode="&quot;$&quot;#,##0.0_);[Red]\(&quot;$&quot;#,##0.0\)">
                  <c:v>302.66142579447529</c:v>
                </c:pt>
                <c:pt idx="12" formatCode="&quot;$&quot;#,##0.0_);[Red]\(&quot;$&quot;#,##0.0\)">
                  <c:v>306.67676121889872</c:v>
                </c:pt>
                <c:pt idx="13" formatCode="&quot;$&quot;#,##0.0_);[Red]\(&quot;$&quot;#,##0.0\)">
                  <c:v>310.72955908808694</c:v>
                </c:pt>
              </c:numCache>
            </c:numRef>
          </c:val>
          <c:smooth val="0"/>
          <c:extLst>
            <c:ext xmlns:c16="http://schemas.microsoft.com/office/drawing/2014/chart" uri="{C3380CC4-5D6E-409C-BE32-E72D297353CC}">
              <c16:uniqueId val="{00000002-33E0-494D-8DB8-70620F7F78F3}"/>
            </c:ext>
          </c:extLst>
        </c:ser>
        <c:ser>
          <c:idx val="3"/>
          <c:order val="3"/>
          <c:tx>
            <c:strRef>
              <c:f>'Forecasting trends - Loan Type'!$E$168</c:f>
              <c:strCache>
                <c:ptCount val="1"/>
                <c:pt idx="0">
                  <c:v>Upper Confidence Bound( Dollars Outstanding
(in billions))</c:v>
                </c:pt>
              </c:strCache>
            </c:strRef>
          </c:tx>
          <c:spPr>
            <a:ln w="12700" cap="rnd">
              <a:solidFill>
                <a:srgbClr val="DA1F28"/>
              </a:solidFill>
              <a:prstDash val="solid"/>
              <a:round/>
            </a:ln>
            <a:effectLst/>
          </c:spPr>
          <c:marker>
            <c:symbol val="none"/>
          </c:marker>
          <c:cat>
            <c:strRef>
              <c:f>'Forecasting trends - Loan Type'!$A$168:$A$182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Type'!$E$169:$E$182</c:f>
              <c:numCache>
                <c:formatCode>General</c:formatCode>
                <c:ptCount val="14"/>
                <c:pt idx="10" formatCode="&quot;$&quot;#,##0.0_);[Red]\(&quot;$&quot;#,##0.0\)">
                  <c:v>108.6</c:v>
                </c:pt>
                <c:pt idx="11" formatCode="&quot;$&quot;#,##0.0_);[Red]\(&quot;$&quot;#,##0.0\)">
                  <c:v>310.04476158752806</c:v>
                </c:pt>
                <c:pt idx="12" formatCode="&quot;$&quot;#,##0.0_);[Red]\(&quot;$&quot;#,##0.0\)">
                  <c:v>314.89022564895549</c:v>
                </c:pt>
                <c:pt idx="13" formatCode="&quot;$&quot;#,##0.0_);[Red]\(&quot;$&quot;#,##0.0\)">
                  <c:v>319.69822726561802</c:v>
                </c:pt>
              </c:numCache>
            </c:numRef>
          </c:val>
          <c:smooth val="0"/>
          <c:extLst>
            <c:ext xmlns:c16="http://schemas.microsoft.com/office/drawing/2014/chart" uri="{C3380CC4-5D6E-409C-BE32-E72D297353CC}">
              <c16:uniqueId val="{00000003-33E0-494D-8DB8-70620F7F78F3}"/>
            </c:ext>
          </c:extLst>
        </c:ser>
        <c:dLbls>
          <c:showLegendKey val="0"/>
          <c:showVal val="0"/>
          <c:showCatName val="0"/>
          <c:showSerName val="0"/>
          <c:showPercent val="0"/>
          <c:showBubbleSize val="0"/>
        </c:dLbls>
        <c:smooth val="0"/>
        <c:axId val="386320832"/>
        <c:axId val="386317952"/>
      </c:lineChart>
      <c:catAx>
        <c:axId val="3863208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17952"/>
        <c:crosses val="autoZero"/>
        <c:auto val="1"/>
        <c:lblAlgn val="ctr"/>
        <c:lblOffset val="100"/>
        <c:noMultiLvlLbl val="0"/>
      </c:catAx>
      <c:valAx>
        <c:axId val="3863179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20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 trends - Loan Type'!$B$168</c:f>
              <c:strCache>
                <c:ptCount val="1"/>
                <c:pt idx="0">
                  <c:v> Dollars Outstanding
(in billions)</c:v>
                </c:pt>
              </c:strCache>
            </c:strRef>
          </c:tx>
          <c:spPr>
            <a:ln w="28575" cap="rnd">
              <a:solidFill>
                <a:schemeClr val="accent1"/>
              </a:solidFill>
              <a:round/>
            </a:ln>
            <a:effectLst/>
          </c:spPr>
          <c:marker>
            <c:symbol val="none"/>
          </c:marker>
          <c:cat>
            <c:strRef>
              <c:f>'Forecasting trends - Loan Type'!$A$168:$A$178</c:f>
              <c:strCache>
                <c:ptCount val="11"/>
                <c:pt idx="0">
                  <c:v>Federal Fiscal Year</c:v>
                </c:pt>
                <c:pt idx="1">
                  <c:v>2014</c:v>
                </c:pt>
                <c:pt idx="2">
                  <c:v>2015</c:v>
                </c:pt>
                <c:pt idx="3">
                  <c:v>2016</c:v>
                </c:pt>
                <c:pt idx="4">
                  <c:v>2017</c:v>
                </c:pt>
                <c:pt idx="5">
                  <c:v>2018</c:v>
                </c:pt>
                <c:pt idx="6">
                  <c:v>2019</c:v>
                </c:pt>
                <c:pt idx="7">
                  <c:v>2020</c:v>
                </c:pt>
                <c:pt idx="8">
                  <c:v>2021</c:v>
                </c:pt>
                <c:pt idx="9">
                  <c:v>2022</c:v>
                </c:pt>
                <c:pt idx="10">
                  <c:v>2023</c:v>
                </c:pt>
              </c:strCache>
            </c:strRef>
          </c:cat>
          <c:val>
            <c:numRef>
              <c:f>'Forecasting trends - Loan Type'!$B$169:$B$178</c:f>
              <c:numCache>
                <c:formatCode>"$"#,##0.0_);[Red]\("$"#,##0.0\)</c:formatCode>
                <c:ptCount val="10"/>
                <c:pt idx="0">
                  <c:v>63.066666666666663</c:v>
                </c:pt>
                <c:pt idx="1">
                  <c:v>68.224999999999994</c:v>
                </c:pt>
                <c:pt idx="2">
                  <c:v>74.650000000000006</c:v>
                </c:pt>
                <c:pt idx="3">
                  <c:v>80.849999999999994</c:v>
                </c:pt>
                <c:pt idx="4">
                  <c:v>87</c:v>
                </c:pt>
                <c:pt idx="5">
                  <c:v>93.174999999999997</c:v>
                </c:pt>
                <c:pt idx="6">
                  <c:v>98.525000000000006</c:v>
                </c:pt>
                <c:pt idx="7">
                  <c:v>103.02499999999999</c:v>
                </c:pt>
                <c:pt idx="8">
                  <c:v>106.72500000000001</c:v>
                </c:pt>
                <c:pt idx="9">
                  <c:v>110.69999999999999</c:v>
                </c:pt>
              </c:numCache>
            </c:numRef>
          </c:val>
          <c:smooth val="0"/>
          <c:extLst>
            <c:ext xmlns:c16="http://schemas.microsoft.com/office/drawing/2014/chart" uri="{C3380CC4-5D6E-409C-BE32-E72D297353CC}">
              <c16:uniqueId val="{00000000-5EE2-40EB-AFCC-7BE379354274}"/>
            </c:ext>
          </c:extLst>
        </c:ser>
        <c:dLbls>
          <c:showLegendKey val="0"/>
          <c:showVal val="0"/>
          <c:showCatName val="0"/>
          <c:showSerName val="0"/>
          <c:showPercent val="0"/>
          <c:showBubbleSize val="0"/>
        </c:dLbls>
        <c:smooth val="0"/>
        <c:axId val="1140067520"/>
        <c:axId val="1140068000"/>
      </c:lineChart>
      <c:catAx>
        <c:axId val="1140067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68000"/>
        <c:crosses val="autoZero"/>
        <c:auto val="1"/>
        <c:lblAlgn val="ctr"/>
        <c:lblOffset val="100"/>
        <c:noMultiLvlLbl val="0"/>
      </c:catAx>
      <c:valAx>
        <c:axId val="11400680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67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'Forecasting trends - Loan Type'!$B$210</c:f>
              <c:strCache>
                <c:ptCount val="1"/>
                <c:pt idx="0">
                  <c:v> Dollars Outstanding
(in billions)</c:v>
                </c:pt>
              </c:strCache>
            </c:strRef>
          </c:tx>
          <c:spPr>
            <a:ln w="28575" cap="rnd">
              <a:solidFill>
                <a:schemeClr val="accent1"/>
              </a:solidFill>
              <a:round/>
            </a:ln>
            <a:effectLst/>
          </c:spPr>
          <c:marker>
            <c:symbol val="none"/>
          </c:marker>
          <c:cat>
            <c:strRef>
              <c:f>'Forecasting trends - Loan Type'!$A$210:$A$224</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Type'!$B$211:$B$224</c:f>
              <c:numCache>
                <c:formatCode>"$"#,##0.0</c:formatCode>
                <c:ptCount val="14"/>
                <c:pt idx="0">
                  <c:v>8.2333333333333325</c:v>
                </c:pt>
                <c:pt idx="1">
                  <c:v>8.1999999999999993</c:v>
                </c:pt>
                <c:pt idx="2">
                  <c:v>8.0500000000000007</c:v>
                </c:pt>
                <c:pt idx="3">
                  <c:v>7.7999999999999989</c:v>
                </c:pt>
                <c:pt idx="4">
                  <c:v>7.4250000000000007</c:v>
                </c:pt>
                <c:pt idx="5">
                  <c:v>6.4749999999999996</c:v>
                </c:pt>
                <c:pt idx="6">
                  <c:v>5.5250000000000004</c:v>
                </c:pt>
                <c:pt idx="7">
                  <c:v>4.5749999999999993</c:v>
                </c:pt>
                <c:pt idx="8">
                  <c:v>4.0750000000000002</c:v>
                </c:pt>
                <c:pt idx="9">
                  <c:v>3.7</c:v>
                </c:pt>
                <c:pt idx="10">
                  <c:v>3.35</c:v>
                </c:pt>
              </c:numCache>
            </c:numRef>
          </c:val>
          <c:smooth val="0"/>
          <c:extLst>
            <c:ext xmlns:c16="http://schemas.microsoft.com/office/drawing/2014/chart" uri="{C3380CC4-5D6E-409C-BE32-E72D297353CC}">
              <c16:uniqueId val="{00000000-6A1A-4DB5-9278-6F7960062F52}"/>
            </c:ext>
          </c:extLst>
        </c:ser>
        <c:ser>
          <c:idx val="1"/>
          <c:order val="1"/>
          <c:tx>
            <c:strRef>
              <c:f>'Forecasting trends - Loan Type'!$C$210</c:f>
              <c:strCache>
                <c:ptCount val="1"/>
                <c:pt idx="0">
                  <c:v>Forecast( Dollars Outstanding
(in billions))</c:v>
                </c:pt>
              </c:strCache>
            </c:strRef>
          </c:tx>
          <c:spPr>
            <a:ln w="25400" cap="rnd">
              <a:solidFill>
                <a:schemeClr val="accent2"/>
              </a:solidFill>
              <a:round/>
            </a:ln>
            <a:effectLst/>
          </c:spPr>
          <c:marker>
            <c:symbol val="none"/>
          </c:marker>
          <c:cat>
            <c:strRef>
              <c:f>'Forecasting trends - Loan Type'!$A$210:$A$224</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Type'!$C$211:$C$224</c:f>
              <c:numCache>
                <c:formatCode>General</c:formatCode>
                <c:ptCount val="14"/>
                <c:pt idx="10" formatCode="&quot;$&quot;#,##0.0">
                  <c:v>3.35</c:v>
                </c:pt>
                <c:pt idx="11" formatCode="&quot;$&quot;#,##0.0">
                  <c:v>306.35309369100167</c:v>
                </c:pt>
                <c:pt idx="12" formatCode="&quot;$&quot;#,##0.0">
                  <c:v>310.78349343392711</c:v>
                </c:pt>
                <c:pt idx="13" formatCode="&quot;$&quot;#,##0.0">
                  <c:v>315.21389317685248</c:v>
                </c:pt>
              </c:numCache>
            </c:numRef>
          </c:val>
          <c:smooth val="0"/>
          <c:extLst>
            <c:ext xmlns:c16="http://schemas.microsoft.com/office/drawing/2014/chart" uri="{C3380CC4-5D6E-409C-BE32-E72D297353CC}">
              <c16:uniqueId val="{00000001-6A1A-4DB5-9278-6F7960062F52}"/>
            </c:ext>
          </c:extLst>
        </c:ser>
        <c:ser>
          <c:idx val="2"/>
          <c:order val="2"/>
          <c:tx>
            <c:strRef>
              <c:f>'Forecasting trends - Loan Type'!$D$210</c:f>
              <c:strCache>
                <c:ptCount val="1"/>
                <c:pt idx="0">
                  <c:v>Lower Confidence Bound( Dollars Outstanding
(in billions))</c:v>
                </c:pt>
              </c:strCache>
            </c:strRef>
          </c:tx>
          <c:spPr>
            <a:ln w="12700" cap="rnd">
              <a:solidFill>
                <a:srgbClr val="DA1F28"/>
              </a:solidFill>
              <a:prstDash val="solid"/>
              <a:round/>
            </a:ln>
            <a:effectLst/>
          </c:spPr>
          <c:marker>
            <c:symbol val="none"/>
          </c:marker>
          <c:cat>
            <c:strRef>
              <c:f>'Forecasting trends - Loan Type'!$A$210:$A$224</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Type'!$D$211:$D$224</c:f>
              <c:numCache>
                <c:formatCode>General</c:formatCode>
                <c:ptCount val="14"/>
                <c:pt idx="10" formatCode="&quot;$&quot;#,##0.0">
                  <c:v>3.35</c:v>
                </c:pt>
                <c:pt idx="11" formatCode="&quot;$&quot;#,##0.0">
                  <c:v>302.66142579447529</c:v>
                </c:pt>
                <c:pt idx="12" formatCode="&quot;$&quot;#,##0.0">
                  <c:v>306.67676121889872</c:v>
                </c:pt>
                <c:pt idx="13" formatCode="&quot;$&quot;#,##0.0">
                  <c:v>310.72955908808694</c:v>
                </c:pt>
              </c:numCache>
            </c:numRef>
          </c:val>
          <c:smooth val="0"/>
          <c:extLst>
            <c:ext xmlns:c16="http://schemas.microsoft.com/office/drawing/2014/chart" uri="{C3380CC4-5D6E-409C-BE32-E72D297353CC}">
              <c16:uniqueId val="{00000002-6A1A-4DB5-9278-6F7960062F52}"/>
            </c:ext>
          </c:extLst>
        </c:ser>
        <c:ser>
          <c:idx val="3"/>
          <c:order val="3"/>
          <c:tx>
            <c:strRef>
              <c:f>'Forecasting trends - Loan Type'!$E$210</c:f>
              <c:strCache>
                <c:ptCount val="1"/>
                <c:pt idx="0">
                  <c:v>Upper Confidence Bound( Dollars Outstanding
(in billions))</c:v>
                </c:pt>
              </c:strCache>
            </c:strRef>
          </c:tx>
          <c:spPr>
            <a:ln w="12700" cap="rnd">
              <a:solidFill>
                <a:srgbClr val="DA1F28"/>
              </a:solidFill>
              <a:prstDash val="solid"/>
              <a:round/>
            </a:ln>
            <a:effectLst/>
          </c:spPr>
          <c:marker>
            <c:symbol val="none"/>
          </c:marker>
          <c:cat>
            <c:strRef>
              <c:f>'Forecasting trends - Loan Type'!$A$210:$A$224</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Type'!$E$211:$E$224</c:f>
              <c:numCache>
                <c:formatCode>General</c:formatCode>
                <c:ptCount val="14"/>
                <c:pt idx="10" formatCode="&quot;$&quot;#,##0.0">
                  <c:v>3.35</c:v>
                </c:pt>
                <c:pt idx="11" formatCode="&quot;$&quot;#,##0.0">
                  <c:v>310.04476158752806</c:v>
                </c:pt>
                <c:pt idx="12" formatCode="&quot;$&quot;#,##0.0">
                  <c:v>314.89022564895549</c:v>
                </c:pt>
                <c:pt idx="13" formatCode="&quot;$&quot;#,##0.0">
                  <c:v>319.69822726561802</c:v>
                </c:pt>
              </c:numCache>
            </c:numRef>
          </c:val>
          <c:smooth val="0"/>
          <c:extLst>
            <c:ext xmlns:c16="http://schemas.microsoft.com/office/drawing/2014/chart" uri="{C3380CC4-5D6E-409C-BE32-E72D297353CC}">
              <c16:uniqueId val="{00000003-6A1A-4DB5-9278-6F7960062F52}"/>
            </c:ext>
          </c:extLst>
        </c:ser>
        <c:dLbls>
          <c:showLegendKey val="0"/>
          <c:showVal val="0"/>
          <c:showCatName val="0"/>
          <c:showSerName val="0"/>
          <c:showPercent val="0"/>
          <c:showBubbleSize val="0"/>
        </c:dLbls>
        <c:smooth val="0"/>
        <c:axId val="1140068960"/>
        <c:axId val="1140064160"/>
      </c:lineChart>
      <c:catAx>
        <c:axId val="11400689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64160"/>
        <c:crosses val="autoZero"/>
        <c:auto val="1"/>
        <c:lblAlgn val="ctr"/>
        <c:lblOffset val="100"/>
        <c:noMultiLvlLbl val="0"/>
      </c:catAx>
      <c:valAx>
        <c:axId val="11400641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68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 trends - Loan Type'!$B$210</c:f>
              <c:strCache>
                <c:ptCount val="1"/>
                <c:pt idx="0">
                  <c:v> Dollars Outstanding
(in billions)</c:v>
                </c:pt>
              </c:strCache>
            </c:strRef>
          </c:tx>
          <c:spPr>
            <a:ln w="28575" cap="rnd">
              <a:solidFill>
                <a:schemeClr val="accent1"/>
              </a:solidFill>
              <a:round/>
            </a:ln>
            <a:effectLst/>
          </c:spPr>
          <c:marker>
            <c:symbol val="none"/>
          </c:marker>
          <c:cat>
            <c:strRef>
              <c:f>'Forecasting trends - Loan Type'!$A$210:$A$220</c:f>
              <c:strCache>
                <c:ptCount val="11"/>
                <c:pt idx="0">
                  <c:v>Federal Fiscal Year</c:v>
                </c:pt>
                <c:pt idx="1">
                  <c:v>2014</c:v>
                </c:pt>
                <c:pt idx="2">
                  <c:v>2015</c:v>
                </c:pt>
                <c:pt idx="3">
                  <c:v>2016</c:v>
                </c:pt>
                <c:pt idx="4">
                  <c:v>2017</c:v>
                </c:pt>
                <c:pt idx="5">
                  <c:v>2018</c:v>
                </c:pt>
                <c:pt idx="6">
                  <c:v>2019</c:v>
                </c:pt>
                <c:pt idx="7">
                  <c:v>2020</c:v>
                </c:pt>
                <c:pt idx="8">
                  <c:v>2021</c:v>
                </c:pt>
                <c:pt idx="9">
                  <c:v>2022</c:v>
                </c:pt>
                <c:pt idx="10">
                  <c:v>2023</c:v>
                </c:pt>
              </c:strCache>
            </c:strRef>
          </c:cat>
          <c:val>
            <c:numRef>
              <c:f>'Forecasting trends - Loan Type'!$B$211:$B$221</c:f>
              <c:numCache>
                <c:formatCode>"$"#,##0.0</c:formatCode>
                <c:ptCount val="11"/>
                <c:pt idx="0">
                  <c:v>8.2333333333333325</c:v>
                </c:pt>
                <c:pt idx="1">
                  <c:v>8.1999999999999993</c:v>
                </c:pt>
                <c:pt idx="2">
                  <c:v>8.0500000000000007</c:v>
                </c:pt>
                <c:pt idx="3">
                  <c:v>7.7999999999999989</c:v>
                </c:pt>
                <c:pt idx="4">
                  <c:v>7.4250000000000007</c:v>
                </c:pt>
                <c:pt idx="5">
                  <c:v>6.4749999999999996</c:v>
                </c:pt>
                <c:pt idx="6">
                  <c:v>5.5250000000000004</c:v>
                </c:pt>
                <c:pt idx="7">
                  <c:v>4.5749999999999993</c:v>
                </c:pt>
                <c:pt idx="8">
                  <c:v>4.0750000000000002</c:v>
                </c:pt>
                <c:pt idx="9">
                  <c:v>3.7</c:v>
                </c:pt>
                <c:pt idx="10">
                  <c:v>3.35</c:v>
                </c:pt>
              </c:numCache>
            </c:numRef>
          </c:val>
          <c:smooth val="0"/>
          <c:extLst>
            <c:ext xmlns:c16="http://schemas.microsoft.com/office/drawing/2014/chart" uri="{C3380CC4-5D6E-409C-BE32-E72D297353CC}">
              <c16:uniqueId val="{00000000-3C47-44C8-978B-1A2C35AC87EF}"/>
            </c:ext>
          </c:extLst>
        </c:ser>
        <c:dLbls>
          <c:showLegendKey val="0"/>
          <c:showVal val="0"/>
          <c:showCatName val="0"/>
          <c:showSerName val="0"/>
          <c:showPercent val="0"/>
          <c:showBubbleSize val="0"/>
        </c:dLbls>
        <c:smooth val="0"/>
        <c:axId val="419086304"/>
        <c:axId val="419087744"/>
      </c:lineChart>
      <c:catAx>
        <c:axId val="41908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87744"/>
        <c:crosses val="autoZero"/>
        <c:auto val="1"/>
        <c:lblAlgn val="ctr"/>
        <c:lblOffset val="100"/>
        <c:noMultiLvlLbl val="0"/>
      </c:catAx>
      <c:valAx>
        <c:axId val="41908774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86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'Forecasting trends - Loan Type'!$B$253</c:f>
              <c:strCache>
                <c:ptCount val="1"/>
                <c:pt idx="0">
                  <c:v> Dollars Outstanding
(in billions)</c:v>
                </c:pt>
              </c:strCache>
            </c:strRef>
          </c:tx>
          <c:spPr>
            <a:ln w="28575" cap="rnd">
              <a:solidFill>
                <a:schemeClr val="accent1"/>
              </a:solidFill>
              <a:round/>
            </a:ln>
            <a:effectLst/>
          </c:spPr>
          <c:marker>
            <c:symbol val="none"/>
          </c:marker>
          <c:cat>
            <c:strRef>
              <c:f>'Forecasting trends - Loan Type'!$A$253:$A$267</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Type'!$B$254:$B$267</c:f>
              <c:numCache>
                <c:formatCode>"$"#,##0.0_);[Red]\("$"#,##0.0\)</c:formatCode>
                <c:ptCount val="14"/>
                <c:pt idx="0">
                  <c:v>379.40000000000003</c:v>
                </c:pt>
                <c:pt idx="1">
                  <c:v>406.17499999999995</c:v>
                </c:pt>
                <c:pt idx="2">
                  <c:v>435.32500000000005</c:v>
                </c:pt>
                <c:pt idx="3">
                  <c:v>468.32499999999999</c:v>
                </c:pt>
                <c:pt idx="4">
                  <c:v>498.7</c:v>
                </c:pt>
                <c:pt idx="5">
                  <c:v>525.47500000000002</c:v>
                </c:pt>
                <c:pt idx="6">
                  <c:v>548.1</c:v>
                </c:pt>
                <c:pt idx="7">
                  <c:v>554.22500000000002</c:v>
                </c:pt>
                <c:pt idx="8">
                  <c:v>550.45000000000005</c:v>
                </c:pt>
                <c:pt idx="9">
                  <c:v>535.52499999999998</c:v>
                </c:pt>
                <c:pt idx="10">
                  <c:v>510.65</c:v>
                </c:pt>
              </c:numCache>
            </c:numRef>
          </c:val>
          <c:smooth val="0"/>
          <c:extLst>
            <c:ext xmlns:c16="http://schemas.microsoft.com/office/drawing/2014/chart" uri="{C3380CC4-5D6E-409C-BE32-E72D297353CC}">
              <c16:uniqueId val="{00000000-3B4A-4BCC-9A37-F534261C8D0D}"/>
            </c:ext>
          </c:extLst>
        </c:ser>
        <c:ser>
          <c:idx val="1"/>
          <c:order val="1"/>
          <c:tx>
            <c:strRef>
              <c:f>'Forecasting trends - Loan Type'!$C$253</c:f>
              <c:strCache>
                <c:ptCount val="1"/>
                <c:pt idx="0">
                  <c:v>Forecast( Dollars Outstanding
(in billions))</c:v>
                </c:pt>
              </c:strCache>
            </c:strRef>
          </c:tx>
          <c:spPr>
            <a:ln w="25400" cap="rnd">
              <a:solidFill>
                <a:schemeClr val="accent2"/>
              </a:solidFill>
              <a:round/>
            </a:ln>
            <a:effectLst/>
          </c:spPr>
          <c:marker>
            <c:symbol val="none"/>
          </c:marker>
          <c:cat>
            <c:strRef>
              <c:f>'Forecasting trends - Loan Type'!$A$253:$A$267</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Type'!$C$254:$C$267</c:f>
              <c:numCache>
                <c:formatCode>General</c:formatCode>
                <c:ptCount val="14"/>
                <c:pt idx="10" formatCode="&quot;$&quot;#,##0.0_);[Red]\(&quot;$&quot;#,##0.0\)">
                  <c:v>510.65</c:v>
                </c:pt>
                <c:pt idx="11" formatCode="&quot;$&quot;#,##0.0_);[Red]\(&quot;$&quot;#,##0.0\)">
                  <c:v>306.35309369100167</c:v>
                </c:pt>
                <c:pt idx="12" formatCode="&quot;$&quot;#,##0.0_);[Red]\(&quot;$&quot;#,##0.0\)">
                  <c:v>310.78349343392711</c:v>
                </c:pt>
                <c:pt idx="13" formatCode="&quot;$&quot;#,##0.0_);[Red]\(&quot;$&quot;#,##0.0\)">
                  <c:v>315.21389317685248</c:v>
                </c:pt>
              </c:numCache>
            </c:numRef>
          </c:val>
          <c:smooth val="0"/>
          <c:extLst>
            <c:ext xmlns:c16="http://schemas.microsoft.com/office/drawing/2014/chart" uri="{C3380CC4-5D6E-409C-BE32-E72D297353CC}">
              <c16:uniqueId val="{00000001-3B4A-4BCC-9A37-F534261C8D0D}"/>
            </c:ext>
          </c:extLst>
        </c:ser>
        <c:ser>
          <c:idx val="2"/>
          <c:order val="2"/>
          <c:tx>
            <c:strRef>
              <c:f>'Forecasting trends - Loan Type'!$D$253</c:f>
              <c:strCache>
                <c:ptCount val="1"/>
                <c:pt idx="0">
                  <c:v>Lower Confidence Bound( Dollars Outstanding
(in billions))</c:v>
                </c:pt>
              </c:strCache>
            </c:strRef>
          </c:tx>
          <c:spPr>
            <a:ln w="12700" cap="rnd">
              <a:solidFill>
                <a:srgbClr val="DA1F28"/>
              </a:solidFill>
              <a:prstDash val="solid"/>
              <a:round/>
            </a:ln>
            <a:effectLst/>
          </c:spPr>
          <c:marker>
            <c:symbol val="none"/>
          </c:marker>
          <c:cat>
            <c:strRef>
              <c:f>'Forecasting trends - Loan Type'!$A$253:$A$267</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Type'!$D$254:$D$267</c:f>
              <c:numCache>
                <c:formatCode>General</c:formatCode>
                <c:ptCount val="14"/>
                <c:pt idx="10" formatCode="&quot;$&quot;#,##0.0_);[Red]\(&quot;$&quot;#,##0.0\)">
                  <c:v>510.65</c:v>
                </c:pt>
                <c:pt idx="11" formatCode="&quot;$&quot;#,##0.0_);[Red]\(&quot;$&quot;#,##0.0\)">
                  <c:v>302.66142579447529</c:v>
                </c:pt>
                <c:pt idx="12" formatCode="&quot;$&quot;#,##0.0_);[Red]\(&quot;$&quot;#,##0.0\)">
                  <c:v>306.67676121889872</c:v>
                </c:pt>
                <c:pt idx="13" formatCode="&quot;$&quot;#,##0.0_);[Red]\(&quot;$&quot;#,##0.0\)">
                  <c:v>310.72955908808694</c:v>
                </c:pt>
              </c:numCache>
            </c:numRef>
          </c:val>
          <c:smooth val="0"/>
          <c:extLst>
            <c:ext xmlns:c16="http://schemas.microsoft.com/office/drawing/2014/chart" uri="{C3380CC4-5D6E-409C-BE32-E72D297353CC}">
              <c16:uniqueId val="{00000002-3B4A-4BCC-9A37-F534261C8D0D}"/>
            </c:ext>
          </c:extLst>
        </c:ser>
        <c:ser>
          <c:idx val="3"/>
          <c:order val="3"/>
          <c:tx>
            <c:strRef>
              <c:f>'Forecasting trends - Loan Type'!$E$253</c:f>
              <c:strCache>
                <c:ptCount val="1"/>
                <c:pt idx="0">
                  <c:v>Upper Confidence Bound( Dollars Outstanding
(in billions))</c:v>
                </c:pt>
              </c:strCache>
            </c:strRef>
          </c:tx>
          <c:spPr>
            <a:ln w="12700" cap="rnd">
              <a:solidFill>
                <a:srgbClr val="DA1F28"/>
              </a:solidFill>
              <a:prstDash val="solid"/>
              <a:round/>
            </a:ln>
            <a:effectLst/>
          </c:spPr>
          <c:marker>
            <c:symbol val="none"/>
          </c:marker>
          <c:cat>
            <c:strRef>
              <c:f>'Forecasting trends - Loan Type'!$A$253:$A$267</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Type'!$E$254:$E$267</c:f>
              <c:numCache>
                <c:formatCode>General</c:formatCode>
                <c:ptCount val="14"/>
                <c:pt idx="10" formatCode="&quot;$&quot;#,##0.0_);[Red]\(&quot;$&quot;#,##0.0\)">
                  <c:v>510.65</c:v>
                </c:pt>
                <c:pt idx="11" formatCode="&quot;$&quot;#,##0.0_);[Red]\(&quot;$&quot;#,##0.0\)">
                  <c:v>310.04476158752806</c:v>
                </c:pt>
                <c:pt idx="12" formatCode="&quot;$&quot;#,##0.0_);[Red]\(&quot;$&quot;#,##0.0\)">
                  <c:v>314.89022564895549</c:v>
                </c:pt>
                <c:pt idx="13" formatCode="&quot;$&quot;#,##0.0_);[Red]\(&quot;$&quot;#,##0.0\)">
                  <c:v>319.69822726561802</c:v>
                </c:pt>
              </c:numCache>
            </c:numRef>
          </c:val>
          <c:smooth val="0"/>
          <c:extLst>
            <c:ext xmlns:c16="http://schemas.microsoft.com/office/drawing/2014/chart" uri="{C3380CC4-5D6E-409C-BE32-E72D297353CC}">
              <c16:uniqueId val="{00000003-3B4A-4BCC-9A37-F534261C8D0D}"/>
            </c:ext>
          </c:extLst>
        </c:ser>
        <c:dLbls>
          <c:showLegendKey val="0"/>
          <c:showVal val="0"/>
          <c:showCatName val="0"/>
          <c:showSerName val="0"/>
          <c:showPercent val="0"/>
          <c:showBubbleSize val="0"/>
        </c:dLbls>
        <c:smooth val="0"/>
        <c:axId val="419089664"/>
        <c:axId val="419091584"/>
      </c:lineChart>
      <c:catAx>
        <c:axId val="4190896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91584"/>
        <c:crosses val="autoZero"/>
        <c:auto val="1"/>
        <c:lblAlgn val="ctr"/>
        <c:lblOffset val="100"/>
        <c:noMultiLvlLbl val="0"/>
      </c:catAx>
      <c:valAx>
        <c:axId val="41909158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8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 trends - Loan Type'!$B$253</c:f>
              <c:strCache>
                <c:ptCount val="1"/>
                <c:pt idx="0">
                  <c:v> Dollars Outstanding
(in billions)</c:v>
                </c:pt>
              </c:strCache>
            </c:strRef>
          </c:tx>
          <c:spPr>
            <a:ln w="28575" cap="rnd">
              <a:solidFill>
                <a:schemeClr val="accent1"/>
              </a:solidFill>
              <a:round/>
            </a:ln>
            <a:effectLst/>
          </c:spPr>
          <c:marker>
            <c:symbol val="none"/>
          </c:marker>
          <c:cat>
            <c:strRef>
              <c:f>'Forecasting trends - Loan Type'!$A$253:$A$263</c:f>
              <c:strCache>
                <c:ptCount val="11"/>
                <c:pt idx="0">
                  <c:v>Federal Fiscal Year</c:v>
                </c:pt>
                <c:pt idx="1">
                  <c:v>2014</c:v>
                </c:pt>
                <c:pt idx="2">
                  <c:v>2015</c:v>
                </c:pt>
                <c:pt idx="3">
                  <c:v>2016</c:v>
                </c:pt>
                <c:pt idx="4">
                  <c:v>2017</c:v>
                </c:pt>
                <c:pt idx="5">
                  <c:v>2018</c:v>
                </c:pt>
                <c:pt idx="6">
                  <c:v>2019</c:v>
                </c:pt>
                <c:pt idx="7">
                  <c:v>2020</c:v>
                </c:pt>
                <c:pt idx="8">
                  <c:v>2021</c:v>
                </c:pt>
                <c:pt idx="9">
                  <c:v>2022</c:v>
                </c:pt>
                <c:pt idx="10">
                  <c:v>2023</c:v>
                </c:pt>
              </c:strCache>
            </c:strRef>
          </c:cat>
          <c:val>
            <c:numRef>
              <c:f>'Forecasting trends - Loan Type'!$B$254:$B$263</c:f>
              <c:numCache>
                <c:formatCode>"$"#,##0.0_);[Red]\("$"#,##0.0\)</c:formatCode>
                <c:ptCount val="10"/>
                <c:pt idx="0">
                  <c:v>379.40000000000003</c:v>
                </c:pt>
                <c:pt idx="1">
                  <c:v>406.17499999999995</c:v>
                </c:pt>
                <c:pt idx="2">
                  <c:v>435.32500000000005</c:v>
                </c:pt>
                <c:pt idx="3">
                  <c:v>468.32499999999999</c:v>
                </c:pt>
                <c:pt idx="4">
                  <c:v>498.7</c:v>
                </c:pt>
                <c:pt idx="5">
                  <c:v>525.47500000000002</c:v>
                </c:pt>
                <c:pt idx="6">
                  <c:v>548.1</c:v>
                </c:pt>
                <c:pt idx="7">
                  <c:v>554.22500000000002</c:v>
                </c:pt>
                <c:pt idx="8">
                  <c:v>550.45000000000005</c:v>
                </c:pt>
                <c:pt idx="9">
                  <c:v>535.52499999999998</c:v>
                </c:pt>
              </c:numCache>
            </c:numRef>
          </c:val>
          <c:smooth val="0"/>
          <c:extLst>
            <c:ext xmlns:c16="http://schemas.microsoft.com/office/drawing/2014/chart" uri="{C3380CC4-5D6E-409C-BE32-E72D297353CC}">
              <c16:uniqueId val="{00000000-82B9-4792-B570-71E9A6FE7B7B}"/>
            </c:ext>
          </c:extLst>
        </c:ser>
        <c:dLbls>
          <c:showLegendKey val="0"/>
          <c:showVal val="0"/>
          <c:showCatName val="0"/>
          <c:showSerName val="0"/>
          <c:showPercent val="0"/>
          <c:showBubbleSize val="0"/>
        </c:dLbls>
        <c:smooth val="0"/>
        <c:axId val="419128544"/>
        <c:axId val="419129024"/>
      </c:lineChart>
      <c:catAx>
        <c:axId val="419128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29024"/>
        <c:crosses val="autoZero"/>
        <c:auto val="1"/>
        <c:lblAlgn val="ctr"/>
        <c:lblOffset val="100"/>
        <c:noMultiLvlLbl val="0"/>
      </c:catAx>
      <c:valAx>
        <c:axId val="4191290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28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xdr:col>
      <xdr:colOff>0</xdr:colOff>
      <xdr:row>49</xdr:row>
      <xdr:rowOff>142875</xdr:rowOff>
    </xdr:from>
    <xdr:to>
      <xdr:col>25</xdr:col>
      <xdr:colOff>9525</xdr:colOff>
      <xdr:row>94</xdr:row>
      <xdr:rowOff>95250</xdr:rowOff>
    </xdr:to>
    <xdr:graphicFrame macro="">
      <xdr:nvGraphicFramePr>
        <xdr:cNvPr id="2174" name="Chart 18">
          <a:extLst>
            <a:ext uri="{FF2B5EF4-FFF2-40B4-BE49-F238E27FC236}">
              <a16:creationId xmlns:a16="http://schemas.microsoft.com/office/drawing/2014/main" id="{67BD101E-7C62-9047-E7B4-7F4DB695E8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59</xdr:row>
      <xdr:rowOff>142875</xdr:rowOff>
    </xdr:from>
    <xdr:to>
      <xdr:col>13</xdr:col>
      <xdr:colOff>1047750</xdr:colOff>
      <xdr:row>92</xdr:row>
      <xdr:rowOff>38100</xdr:rowOff>
    </xdr:to>
    <xdr:graphicFrame macro="">
      <xdr:nvGraphicFramePr>
        <xdr:cNvPr id="49326" name="Chart 1">
          <a:extLst>
            <a:ext uri="{FF2B5EF4-FFF2-40B4-BE49-F238E27FC236}">
              <a16:creationId xmlns:a16="http://schemas.microsoft.com/office/drawing/2014/main" id="{8037AFCD-5E2B-240D-EE38-E730A20A6C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96</xdr:row>
      <xdr:rowOff>0</xdr:rowOff>
    </xdr:from>
    <xdr:to>
      <xdr:col>13</xdr:col>
      <xdr:colOff>1066800</xdr:colOff>
      <xdr:row>157</xdr:row>
      <xdr:rowOff>142875</xdr:rowOff>
    </xdr:to>
    <xdr:graphicFrame macro="">
      <xdr:nvGraphicFramePr>
        <xdr:cNvPr id="49327" name="Chart 3">
          <a:extLst>
            <a:ext uri="{FF2B5EF4-FFF2-40B4-BE49-F238E27FC236}">
              <a16:creationId xmlns:a16="http://schemas.microsoft.com/office/drawing/2014/main" id="{27E37C28-AF36-A0FD-6079-BC95786D70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6</xdr:row>
      <xdr:rowOff>38100</xdr:rowOff>
    </xdr:from>
    <xdr:to>
      <xdr:col>35</xdr:col>
      <xdr:colOff>57150</xdr:colOff>
      <xdr:row>49</xdr:row>
      <xdr:rowOff>104775</xdr:rowOff>
    </xdr:to>
    <xdr:graphicFrame macro="">
      <xdr:nvGraphicFramePr>
        <xdr:cNvPr id="96317" name="Chart 1">
          <a:extLst>
            <a:ext uri="{FF2B5EF4-FFF2-40B4-BE49-F238E27FC236}">
              <a16:creationId xmlns:a16="http://schemas.microsoft.com/office/drawing/2014/main" id="{570C97D3-CD31-F11B-652A-1CEB55E563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3</xdr:row>
      <xdr:rowOff>9525</xdr:rowOff>
    </xdr:from>
    <xdr:to>
      <xdr:col>26</xdr:col>
      <xdr:colOff>0</xdr:colOff>
      <xdr:row>13</xdr:row>
      <xdr:rowOff>0</xdr:rowOff>
    </xdr:to>
    <xdr:graphicFrame macro="">
      <xdr:nvGraphicFramePr>
        <xdr:cNvPr id="3" name="Chart 1">
          <a:extLst>
            <a:ext uri="{FF2B5EF4-FFF2-40B4-BE49-F238E27FC236}">
              <a16:creationId xmlns:a16="http://schemas.microsoft.com/office/drawing/2014/main" id="{BCB9DEE9-82D1-4E40-BFE5-63548189BD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15</xdr:row>
      <xdr:rowOff>161924</xdr:rowOff>
    </xdr:from>
    <xdr:to>
      <xdr:col>26</xdr:col>
      <xdr:colOff>0</xdr:colOff>
      <xdr:row>42</xdr:row>
      <xdr:rowOff>161924</xdr:rowOff>
    </xdr:to>
    <xdr:graphicFrame macro="">
      <xdr:nvGraphicFramePr>
        <xdr:cNvPr id="4" name="Chart 3">
          <a:extLst>
            <a:ext uri="{FF2B5EF4-FFF2-40B4-BE49-F238E27FC236}">
              <a16:creationId xmlns:a16="http://schemas.microsoft.com/office/drawing/2014/main" id="{6C3AD657-995D-4E73-AE20-9E1595A7A9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609599</xdr:colOff>
      <xdr:row>65</xdr:row>
      <xdr:rowOff>0</xdr:rowOff>
    </xdr:from>
    <xdr:to>
      <xdr:col>26</xdr:col>
      <xdr:colOff>9524</xdr:colOff>
      <xdr:row>87</xdr:row>
      <xdr:rowOff>38100</xdr:rowOff>
    </xdr:to>
    <xdr:graphicFrame macro="">
      <xdr:nvGraphicFramePr>
        <xdr:cNvPr id="7" name="Chart 6">
          <a:extLst>
            <a:ext uri="{FF2B5EF4-FFF2-40B4-BE49-F238E27FC236}">
              <a16:creationId xmlns:a16="http://schemas.microsoft.com/office/drawing/2014/main" id="{B2E420B1-60B3-4E0E-A4C8-2AB55DDCFB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609599</xdr:colOff>
      <xdr:row>47</xdr:row>
      <xdr:rowOff>0</xdr:rowOff>
    </xdr:from>
    <xdr:to>
      <xdr:col>26</xdr:col>
      <xdr:colOff>0</xdr:colOff>
      <xdr:row>59</xdr:row>
      <xdr:rowOff>152400</xdr:rowOff>
    </xdr:to>
    <xdr:graphicFrame macro="">
      <xdr:nvGraphicFramePr>
        <xdr:cNvPr id="8" name="Chart 7">
          <a:extLst>
            <a:ext uri="{FF2B5EF4-FFF2-40B4-BE49-F238E27FC236}">
              <a16:creationId xmlns:a16="http://schemas.microsoft.com/office/drawing/2014/main" id="{1703EE01-D35B-925A-5953-061F31C63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105</xdr:row>
      <xdr:rowOff>28574</xdr:rowOff>
    </xdr:from>
    <xdr:to>
      <xdr:col>26</xdr:col>
      <xdr:colOff>9525</xdr:colOff>
      <xdr:row>124</xdr:row>
      <xdr:rowOff>28574</xdr:rowOff>
    </xdr:to>
    <xdr:graphicFrame macro="">
      <xdr:nvGraphicFramePr>
        <xdr:cNvPr id="9" name="Chart 8">
          <a:extLst>
            <a:ext uri="{FF2B5EF4-FFF2-40B4-BE49-F238E27FC236}">
              <a16:creationId xmlns:a16="http://schemas.microsoft.com/office/drawing/2014/main" id="{8CA153DF-B011-4AE4-B004-5DC82FE50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9525</xdr:colOff>
      <xdr:row>89</xdr:row>
      <xdr:rowOff>190500</xdr:rowOff>
    </xdr:from>
    <xdr:to>
      <xdr:col>25</xdr:col>
      <xdr:colOff>600075</xdr:colOff>
      <xdr:row>102</xdr:row>
      <xdr:rowOff>142875</xdr:rowOff>
    </xdr:to>
    <xdr:graphicFrame macro="">
      <xdr:nvGraphicFramePr>
        <xdr:cNvPr id="10" name="Chart 9">
          <a:extLst>
            <a:ext uri="{FF2B5EF4-FFF2-40B4-BE49-F238E27FC236}">
              <a16:creationId xmlns:a16="http://schemas.microsoft.com/office/drawing/2014/main" id="{BB64BBDB-0C5F-7F44-0C7D-EB325F10D8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609599</xdr:colOff>
      <xdr:row>143</xdr:row>
      <xdr:rowOff>66675</xdr:rowOff>
    </xdr:from>
    <xdr:to>
      <xdr:col>26</xdr:col>
      <xdr:colOff>9524</xdr:colOff>
      <xdr:row>165</xdr:row>
      <xdr:rowOff>76200</xdr:rowOff>
    </xdr:to>
    <xdr:graphicFrame macro="">
      <xdr:nvGraphicFramePr>
        <xdr:cNvPr id="11" name="Chart 10">
          <a:extLst>
            <a:ext uri="{FF2B5EF4-FFF2-40B4-BE49-F238E27FC236}">
              <a16:creationId xmlns:a16="http://schemas.microsoft.com/office/drawing/2014/main" id="{B8D7B574-A6BE-41F4-8DA6-6BB897439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590549</xdr:colOff>
      <xdr:row>127</xdr:row>
      <xdr:rowOff>0</xdr:rowOff>
    </xdr:from>
    <xdr:to>
      <xdr:col>25</xdr:col>
      <xdr:colOff>590550</xdr:colOff>
      <xdr:row>139</xdr:row>
      <xdr:rowOff>152400</xdr:rowOff>
    </xdr:to>
    <xdr:graphicFrame macro="">
      <xdr:nvGraphicFramePr>
        <xdr:cNvPr id="12" name="Chart 11">
          <a:extLst>
            <a:ext uri="{FF2B5EF4-FFF2-40B4-BE49-F238E27FC236}">
              <a16:creationId xmlns:a16="http://schemas.microsoft.com/office/drawing/2014/main" id="{EF243ABE-A614-8808-5298-1DB526C413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609599</xdr:colOff>
      <xdr:row>182</xdr:row>
      <xdr:rowOff>161924</xdr:rowOff>
    </xdr:from>
    <xdr:to>
      <xdr:col>25</xdr:col>
      <xdr:colOff>600075</xdr:colOff>
      <xdr:row>206</xdr:row>
      <xdr:rowOff>152399</xdr:rowOff>
    </xdr:to>
    <xdr:graphicFrame macro="">
      <xdr:nvGraphicFramePr>
        <xdr:cNvPr id="13" name="Chart 12">
          <a:extLst>
            <a:ext uri="{FF2B5EF4-FFF2-40B4-BE49-F238E27FC236}">
              <a16:creationId xmlns:a16="http://schemas.microsoft.com/office/drawing/2014/main" id="{7BF6F44B-AD2B-44A7-BC0C-BE3FB40BB8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609599</xdr:colOff>
      <xdr:row>167</xdr:row>
      <xdr:rowOff>0</xdr:rowOff>
    </xdr:from>
    <xdr:to>
      <xdr:col>26</xdr:col>
      <xdr:colOff>9524</xdr:colOff>
      <xdr:row>179</xdr:row>
      <xdr:rowOff>152400</xdr:rowOff>
    </xdr:to>
    <xdr:graphicFrame macro="">
      <xdr:nvGraphicFramePr>
        <xdr:cNvPr id="14" name="Chart 13">
          <a:extLst>
            <a:ext uri="{FF2B5EF4-FFF2-40B4-BE49-F238E27FC236}">
              <a16:creationId xmlns:a16="http://schemas.microsoft.com/office/drawing/2014/main" id="{135DBF75-6951-7550-3644-A3C8918706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609599</xdr:colOff>
      <xdr:row>225</xdr:row>
      <xdr:rowOff>76199</xdr:rowOff>
    </xdr:from>
    <xdr:to>
      <xdr:col>26</xdr:col>
      <xdr:colOff>9524</xdr:colOff>
      <xdr:row>249</xdr:row>
      <xdr:rowOff>66674</xdr:rowOff>
    </xdr:to>
    <xdr:graphicFrame macro="">
      <xdr:nvGraphicFramePr>
        <xdr:cNvPr id="15" name="Chart 14">
          <a:extLst>
            <a:ext uri="{FF2B5EF4-FFF2-40B4-BE49-F238E27FC236}">
              <a16:creationId xmlns:a16="http://schemas.microsoft.com/office/drawing/2014/main" id="{79FC84F8-4207-4131-8B26-FB46B8FD0A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600075</xdr:colOff>
      <xdr:row>209</xdr:row>
      <xdr:rowOff>9525</xdr:rowOff>
    </xdr:from>
    <xdr:to>
      <xdr:col>25</xdr:col>
      <xdr:colOff>600075</xdr:colOff>
      <xdr:row>222</xdr:row>
      <xdr:rowOff>152400</xdr:rowOff>
    </xdr:to>
    <xdr:graphicFrame macro="">
      <xdr:nvGraphicFramePr>
        <xdr:cNvPr id="16" name="Chart 15">
          <a:extLst>
            <a:ext uri="{FF2B5EF4-FFF2-40B4-BE49-F238E27FC236}">
              <a16:creationId xmlns:a16="http://schemas.microsoft.com/office/drawing/2014/main" id="{71F5AE1A-F8D1-80F3-69A9-4C6C9C88B7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609599</xdr:colOff>
      <xdr:row>269</xdr:row>
      <xdr:rowOff>0</xdr:rowOff>
    </xdr:from>
    <xdr:to>
      <xdr:col>26</xdr:col>
      <xdr:colOff>9524</xdr:colOff>
      <xdr:row>294</xdr:row>
      <xdr:rowOff>142875</xdr:rowOff>
    </xdr:to>
    <xdr:graphicFrame macro="">
      <xdr:nvGraphicFramePr>
        <xdr:cNvPr id="17" name="Chart 16">
          <a:extLst>
            <a:ext uri="{FF2B5EF4-FFF2-40B4-BE49-F238E27FC236}">
              <a16:creationId xmlns:a16="http://schemas.microsoft.com/office/drawing/2014/main" id="{538FE8D2-CD84-48C2-A7DB-8D6FD2DF84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609599</xdr:colOff>
      <xdr:row>252</xdr:row>
      <xdr:rowOff>0</xdr:rowOff>
    </xdr:from>
    <xdr:to>
      <xdr:col>26</xdr:col>
      <xdr:colOff>0</xdr:colOff>
      <xdr:row>264</xdr:row>
      <xdr:rowOff>152400</xdr:rowOff>
    </xdr:to>
    <xdr:graphicFrame macro="">
      <xdr:nvGraphicFramePr>
        <xdr:cNvPr id="18" name="Chart 17">
          <a:extLst>
            <a:ext uri="{FF2B5EF4-FFF2-40B4-BE49-F238E27FC236}">
              <a16:creationId xmlns:a16="http://schemas.microsoft.com/office/drawing/2014/main" id="{550C29AE-B113-3758-3502-8429FEB37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ira Datta Choudhury" refreshedDate="45735.73073541667" createdVersion="1" refreshedVersion="4" recordCount="560" upgradeOnRefresh="1" xr:uid="{FEDBF843-22F7-4DEF-B178-78C491878B87}">
  <cacheSource type="worksheet">
    <worksheetSource ref="A3:E563" sheet="Transformed Data for Pivoting"/>
  </cacheSource>
  <cacheFields count="5">
    <cacheField name="Year" numFmtId="0">
      <sharedItems containsSemiMixedTypes="0" containsString="0" containsNumber="1" containsInteger="1" minValue="2015" maxValue="2024" count="10">
        <n v="2015"/>
        <n v="2016"/>
        <n v="2017"/>
        <n v="2018"/>
        <n v="2019"/>
        <n v="2020"/>
        <n v="2021"/>
        <n v="2022"/>
        <n v="2023"/>
        <n v="2024"/>
      </sharedItems>
    </cacheField>
    <cacheField name="Quarter" numFmtId="0">
      <sharedItems count="4">
        <s v="Q1"/>
        <s v="Q2"/>
        <s v="Q3"/>
        <s v="Q4"/>
      </sharedItems>
    </cacheField>
    <cacheField name="Loan Type" numFmtId="0">
      <sharedItems count="7">
        <s v="Stafford Subsidized "/>
        <s v="Stafford Unsubsidized"/>
        <s v="Stafford (Combined)"/>
        <s v="Grad PLUS"/>
        <s v="Parent PLUS"/>
        <s v="Perkins"/>
        <s v="Consolidation"/>
      </sharedItems>
    </cacheField>
    <cacheField name="Metric" numFmtId="0">
      <sharedItems count="2">
        <s v="Dollars Outstanding (in billons)"/>
        <s v="Recipients (in millions)"/>
      </sharedItems>
    </cacheField>
    <cacheField name="Value" numFmtId="0">
      <sharedItems containsSemiMixedTypes="0" containsString="0" containsNumber="1" minValue="1" maxValue="895.9" count="368">
        <n v="258"/>
        <n v="28.9"/>
        <n v="373"/>
        <n v="26.6"/>
        <n v="630.9"/>
        <n v="31.7"/>
        <n v="40.9"/>
        <n v="1"/>
        <n v="65.099999999999994"/>
        <n v="3.2"/>
        <n v="8.1999999999999993"/>
        <n v="3"/>
        <n v="394.9"/>
        <n v="11.9"/>
        <n v="262.89999999999998"/>
        <n v="28.8"/>
        <n v="388.4"/>
        <n v="26.5"/>
        <n v="651.29999999999995"/>
        <n v="31.5"/>
        <n v="43.4"/>
        <n v="68.7"/>
        <n v="8.3000000000000007"/>
        <n v="2.9"/>
        <n v="402.8"/>
        <n v="260.7"/>
        <n v="28.5"/>
        <n v="390.8"/>
        <n v="26.4"/>
        <n v="651.6"/>
        <n v="31.3"/>
        <n v="44.1"/>
        <n v="68"/>
        <n v="3.1"/>
        <n v="410.3"/>
        <n v="264.8"/>
        <n v="29.1"/>
        <n v="404.9"/>
        <n v="27.1"/>
        <n v="669.7"/>
        <n v="32.1"/>
        <n v="46.8"/>
        <n v="71.099999999999994"/>
        <n v="3.3"/>
        <n v="8.1"/>
        <n v="2.8"/>
        <n v="416.7"/>
        <n v="264.10000000000002"/>
        <n v="29.3"/>
        <n v="406.6"/>
        <n v="27.3"/>
        <n v="670.7"/>
        <n v="32.200000000000003"/>
        <n v="46.6"/>
        <n v="3.4"/>
        <n v="423.6"/>
        <n v="12"/>
        <n v="269"/>
        <n v="29.2"/>
        <n v="421.8"/>
        <n v="690.8"/>
        <n v="49.4"/>
        <n v="75.2"/>
        <n v="431.2"/>
        <n v="266.7"/>
        <n v="423.5"/>
        <n v="690.3"/>
        <n v="31.9"/>
        <n v="50.2"/>
        <n v="74.5"/>
        <n v="8"/>
        <n v="2.7"/>
        <n v="439.2"/>
        <n v="270.10000000000002"/>
        <n v="29.5"/>
        <n v="436.1"/>
        <n v="27.8"/>
        <n v="706.2"/>
        <n v="32.6"/>
        <n v="53"/>
        <n v="1.1000000000000001"/>
        <n v="77.8"/>
        <n v="3.5"/>
        <n v="7.9"/>
        <n v="447.3"/>
        <n v="268.8"/>
        <n v="29.6"/>
        <n v="436.5"/>
        <n v="28"/>
        <n v="705.3"/>
        <n v="32.799999999999997"/>
        <n v="52.8"/>
        <n v="77.5"/>
        <n v="456.2"/>
        <n v="272.5"/>
        <n v="29.4"/>
        <n v="449.6"/>
        <n v="27.9"/>
        <n v="722.2"/>
        <n v="55.7"/>
        <n v="81.5"/>
        <n v="2.6"/>
        <n v="464.5"/>
        <n v="269.89999999999998"/>
        <n v="29"/>
        <n v="450.3"/>
        <n v="27.6"/>
        <n v="720.2"/>
        <n v="56.6"/>
        <n v="80.5"/>
        <n v="7.8"/>
        <n v="472.3"/>
        <n v="273.10000000000002"/>
        <n v="462.4"/>
        <n v="28.3"/>
        <n v="735.5"/>
        <n v="32.9"/>
        <n v="59.7"/>
        <n v="1.2"/>
        <n v="83.9"/>
        <n v="7.6"/>
        <n v="2.5"/>
        <n v="480.3"/>
        <n v="272.2"/>
        <n v="463.3"/>
        <n v="28.4"/>
        <n v="33"/>
        <n v="59.6"/>
        <n v="83.7"/>
        <n v="489"/>
        <n v="276.39999999999998"/>
        <n v="476.6"/>
        <n v="753"/>
        <n v="62.8"/>
        <n v="87.7"/>
        <n v="495.9"/>
        <n v="274.2"/>
        <n v="477.8"/>
        <n v="752.1"/>
        <n v="32.5"/>
        <n v="63.9"/>
        <n v="86.7"/>
        <n v="7.4"/>
        <n v="2.4"/>
        <n v="501.9"/>
        <n v="277.5"/>
        <n v="489.6"/>
        <n v="28.7"/>
        <n v="767.1"/>
        <n v="33.1"/>
        <n v="67"/>
        <n v="1.3"/>
        <n v="89.9"/>
        <n v="3.6"/>
        <n v="7.1"/>
        <n v="2.2999999999999998"/>
        <n v="508"/>
        <n v="276.8"/>
        <n v="29.7"/>
        <n v="490.9"/>
        <n v="767.7"/>
        <n v="33.299999999999997"/>
        <n v="71.3"/>
        <n v="1.5"/>
        <n v="89.8"/>
        <n v="6.9"/>
        <n v="2.2000000000000002"/>
        <n v="515.6"/>
        <n v="11.8"/>
        <n v="280"/>
        <n v="503.5"/>
        <n v="783.5"/>
        <n v="70.7"/>
        <n v="93.9"/>
        <n v="6.6"/>
        <n v="521.79999999999995"/>
        <n v="277.39999999999998"/>
        <n v="504.2"/>
        <n v="781.6"/>
        <n v="71.900000000000006"/>
        <n v="92.9"/>
        <n v="6.3"/>
        <n v="2.1"/>
        <n v="528.4"/>
        <n v="280.7"/>
        <n v="516"/>
        <n v="796.7"/>
        <n v="33.200000000000003"/>
        <n v="1.4"/>
        <n v="96.1"/>
        <n v="6.1"/>
        <n v="2"/>
        <n v="536.1"/>
        <n v="11.7"/>
        <n v="279.60000000000002"/>
        <n v="516.29999999999995"/>
        <n v="795.8"/>
        <n v="75.3"/>
        <n v="95.6"/>
        <n v="5.9"/>
        <n v="1.9"/>
        <n v="542.4"/>
        <n v="282.89999999999998"/>
        <n v="528.5"/>
        <n v="811.4"/>
        <n v="78.8"/>
        <n v="99.4"/>
        <n v="5.6"/>
        <n v="547.70000000000005"/>
        <n v="11.6"/>
        <n v="282.3"/>
        <n v="529.1"/>
        <n v="28.6"/>
        <n v="79.5"/>
        <n v="98.3"/>
        <n v="5.4"/>
        <n v="1.8"/>
        <n v="550.20000000000005"/>
        <n v="285.7"/>
        <n v="539.79999999999995"/>
        <n v="825.5"/>
        <n v="33.4"/>
        <n v="82.8"/>
        <n v="100.8"/>
        <n v="5.2"/>
        <n v="1.7"/>
        <n v="552.1"/>
        <n v="11.5"/>
        <n v="285.2"/>
        <n v="539.4"/>
        <n v="824.6"/>
        <n v="33.5"/>
        <n v="82.7"/>
        <n v="100.3"/>
        <n v="4.9000000000000004"/>
        <n v="552.6"/>
        <n v="289.8"/>
        <n v="552.70000000000005"/>
        <n v="842.5"/>
        <n v="33.6"/>
        <n v="86.3"/>
        <n v="103.6"/>
        <n v="4.7"/>
        <n v="1.6"/>
        <n v="554.70000000000005"/>
        <n v="11.4"/>
        <n v="288.7"/>
        <n v="553.5"/>
        <n v="842.2"/>
        <n v="87.3"/>
        <n v="102.8"/>
        <n v="4.3"/>
        <n v="554.5"/>
        <n v="11.3"/>
        <n v="291.5"/>
        <n v="30"/>
        <n v="563.5"/>
        <n v="855"/>
        <n v="34.200000000000003"/>
        <n v="90.7"/>
        <n v="105.4"/>
        <n v="3.7"/>
        <n v="4.4000000000000004"/>
        <n v="555.1"/>
        <n v="290.89999999999998"/>
        <n v="30.1"/>
        <n v="562.5"/>
        <n v="853.4"/>
        <n v="34.299999999999997"/>
        <n v="90.6"/>
        <n v="104.8"/>
        <n v="4.2"/>
        <n v="553.29999999999995"/>
        <n v="11.2"/>
        <n v="293.10000000000002"/>
        <n v="29.8"/>
        <n v="571.9"/>
        <n v="29.9"/>
        <n v="864.9"/>
        <n v="34"/>
        <n v="94"/>
        <n v="107.3"/>
        <n v="549.20000000000005"/>
        <n v="11"/>
        <n v="291.89999999999998"/>
        <n v="571.5"/>
        <n v="863.3"/>
        <n v="33.9"/>
        <n v="94.9"/>
        <n v="106.3"/>
        <n v="4"/>
        <n v="548.70000000000005"/>
        <n v="10.9"/>
        <n v="294.3"/>
        <n v="30.2"/>
        <n v="579.29999999999995"/>
        <n v="30.5"/>
        <n v="873.6"/>
        <n v="34.6"/>
        <n v="97.9"/>
        <n v="108.5"/>
        <n v="3.9"/>
        <n v="550.6"/>
        <n v="293"/>
        <n v="30.4"/>
        <n v="574.1"/>
        <n v="30.7"/>
        <n v="867.1"/>
        <n v="34.799999999999997"/>
        <n v="96.7"/>
        <n v="107.6"/>
        <n v="3.8"/>
        <n v="560.29999999999995"/>
        <n v="296.2"/>
        <n v="30.3"/>
        <n v="584.9"/>
        <n v="881.1"/>
        <n v="34.9"/>
        <n v="100.7"/>
        <n v="111.7"/>
        <n v="547.29999999999995"/>
        <n v="10.7"/>
        <n v="295.39999999999998"/>
        <n v="585.4"/>
        <n v="880.8"/>
        <n v="101.9"/>
        <n v="111.3"/>
        <n v="536.20000000000005"/>
        <n v="10.5"/>
        <n v="295.60000000000002"/>
        <n v="30.6"/>
        <n v="588.5"/>
        <n v="31.1"/>
        <n v="884.1"/>
        <n v="35.200000000000003"/>
        <n v="104"/>
        <n v="112.2"/>
        <n v="498.3"/>
        <n v="9.8000000000000007"/>
        <n v="293.3"/>
        <n v="585.20000000000005"/>
        <n v="31"/>
        <n v="878.5"/>
        <n v="35.1"/>
        <n v="103.4"/>
        <n v="107.2"/>
        <n v="505.9"/>
        <n v="594.9"/>
        <n v="890.3"/>
        <n v="107.5"/>
        <n v="109.8"/>
        <n v="509.2"/>
        <n v="9.6999999999999993"/>
        <n v="291.8"/>
        <n v="590.79999999999995"/>
        <n v="882.6"/>
        <n v="34.4"/>
        <n v="107.7"/>
        <n v="107.1"/>
        <n v="510.3"/>
        <n v="9.5"/>
        <n v="294.39999999999998"/>
        <n v="601.5"/>
        <n v="30.9"/>
        <n v="895.9"/>
        <n v="112.1"/>
        <n v="110.3"/>
        <n v="517.2000000000000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x v="0"/>
    <x v="0"/>
    <x v="0"/>
    <x v="0"/>
  </r>
  <r>
    <x v="0"/>
    <x v="0"/>
    <x v="0"/>
    <x v="1"/>
    <x v="1"/>
  </r>
  <r>
    <x v="0"/>
    <x v="0"/>
    <x v="1"/>
    <x v="0"/>
    <x v="2"/>
  </r>
  <r>
    <x v="0"/>
    <x v="0"/>
    <x v="1"/>
    <x v="1"/>
    <x v="3"/>
  </r>
  <r>
    <x v="0"/>
    <x v="0"/>
    <x v="2"/>
    <x v="0"/>
    <x v="4"/>
  </r>
  <r>
    <x v="0"/>
    <x v="0"/>
    <x v="2"/>
    <x v="1"/>
    <x v="5"/>
  </r>
  <r>
    <x v="0"/>
    <x v="0"/>
    <x v="3"/>
    <x v="0"/>
    <x v="6"/>
  </r>
  <r>
    <x v="0"/>
    <x v="0"/>
    <x v="3"/>
    <x v="1"/>
    <x v="7"/>
  </r>
  <r>
    <x v="0"/>
    <x v="0"/>
    <x v="4"/>
    <x v="0"/>
    <x v="8"/>
  </r>
  <r>
    <x v="0"/>
    <x v="0"/>
    <x v="4"/>
    <x v="1"/>
    <x v="9"/>
  </r>
  <r>
    <x v="0"/>
    <x v="0"/>
    <x v="5"/>
    <x v="0"/>
    <x v="10"/>
  </r>
  <r>
    <x v="0"/>
    <x v="0"/>
    <x v="5"/>
    <x v="1"/>
    <x v="11"/>
  </r>
  <r>
    <x v="0"/>
    <x v="0"/>
    <x v="6"/>
    <x v="0"/>
    <x v="12"/>
  </r>
  <r>
    <x v="0"/>
    <x v="0"/>
    <x v="6"/>
    <x v="1"/>
    <x v="13"/>
  </r>
  <r>
    <x v="0"/>
    <x v="1"/>
    <x v="0"/>
    <x v="0"/>
    <x v="14"/>
  </r>
  <r>
    <x v="0"/>
    <x v="1"/>
    <x v="0"/>
    <x v="1"/>
    <x v="15"/>
  </r>
  <r>
    <x v="0"/>
    <x v="1"/>
    <x v="1"/>
    <x v="0"/>
    <x v="16"/>
  </r>
  <r>
    <x v="0"/>
    <x v="1"/>
    <x v="1"/>
    <x v="1"/>
    <x v="17"/>
  </r>
  <r>
    <x v="0"/>
    <x v="1"/>
    <x v="2"/>
    <x v="0"/>
    <x v="18"/>
  </r>
  <r>
    <x v="0"/>
    <x v="1"/>
    <x v="2"/>
    <x v="1"/>
    <x v="19"/>
  </r>
  <r>
    <x v="0"/>
    <x v="1"/>
    <x v="3"/>
    <x v="0"/>
    <x v="20"/>
  </r>
  <r>
    <x v="0"/>
    <x v="1"/>
    <x v="3"/>
    <x v="1"/>
    <x v="7"/>
  </r>
  <r>
    <x v="0"/>
    <x v="1"/>
    <x v="4"/>
    <x v="0"/>
    <x v="21"/>
  </r>
  <r>
    <x v="0"/>
    <x v="1"/>
    <x v="4"/>
    <x v="1"/>
    <x v="9"/>
  </r>
  <r>
    <x v="0"/>
    <x v="1"/>
    <x v="5"/>
    <x v="0"/>
    <x v="22"/>
  </r>
  <r>
    <x v="0"/>
    <x v="1"/>
    <x v="5"/>
    <x v="1"/>
    <x v="23"/>
  </r>
  <r>
    <x v="0"/>
    <x v="1"/>
    <x v="6"/>
    <x v="0"/>
    <x v="24"/>
  </r>
  <r>
    <x v="0"/>
    <x v="1"/>
    <x v="6"/>
    <x v="1"/>
    <x v="13"/>
  </r>
  <r>
    <x v="0"/>
    <x v="2"/>
    <x v="0"/>
    <x v="0"/>
    <x v="25"/>
  </r>
  <r>
    <x v="0"/>
    <x v="2"/>
    <x v="0"/>
    <x v="1"/>
    <x v="26"/>
  </r>
  <r>
    <x v="0"/>
    <x v="2"/>
    <x v="1"/>
    <x v="0"/>
    <x v="27"/>
  </r>
  <r>
    <x v="0"/>
    <x v="2"/>
    <x v="1"/>
    <x v="1"/>
    <x v="28"/>
  </r>
  <r>
    <x v="0"/>
    <x v="2"/>
    <x v="2"/>
    <x v="0"/>
    <x v="29"/>
  </r>
  <r>
    <x v="0"/>
    <x v="2"/>
    <x v="2"/>
    <x v="1"/>
    <x v="30"/>
  </r>
  <r>
    <x v="0"/>
    <x v="2"/>
    <x v="3"/>
    <x v="0"/>
    <x v="31"/>
  </r>
  <r>
    <x v="0"/>
    <x v="2"/>
    <x v="3"/>
    <x v="1"/>
    <x v="7"/>
  </r>
  <r>
    <x v="0"/>
    <x v="2"/>
    <x v="4"/>
    <x v="0"/>
    <x v="32"/>
  </r>
  <r>
    <x v="0"/>
    <x v="2"/>
    <x v="4"/>
    <x v="1"/>
    <x v="33"/>
  </r>
  <r>
    <x v="0"/>
    <x v="2"/>
    <x v="5"/>
    <x v="0"/>
    <x v="10"/>
  </r>
  <r>
    <x v="0"/>
    <x v="2"/>
    <x v="5"/>
    <x v="1"/>
    <x v="23"/>
  </r>
  <r>
    <x v="0"/>
    <x v="2"/>
    <x v="6"/>
    <x v="0"/>
    <x v="34"/>
  </r>
  <r>
    <x v="0"/>
    <x v="2"/>
    <x v="6"/>
    <x v="1"/>
    <x v="13"/>
  </r>
  <r>
    <x v="0"/>
    <x v="3"/>
    <x v="0"/>
    <x v="0"/>
    <x v="35"/>
  </r>
  <r>
    <x v="0"/>
    <x v="3"/>
    <x v="0"/>
    <x v="1"/>
    <x v="36"/>
  </r>
  <r>
    <x v="0"/>
    <x v="3"/>
    <x v="1"/>
    <x v="0"/>
    <x v="37"/>
  </r>
  <r>
    <x v="0"/>
    <x v="3"/>
    <x v="1"/>
    <x v="1"/>
    <x v="38"/>
  </r>
  <r>
    <x v="0"/>
    <x v="3"/>
    <x v="2"/>
    <x v="0"/>
    <x v="39"/>
  </r>
  <r>
    <x v="0"/>
    <x v="3"/>
    <x v="2"/>
    <x v="1"/>
    <x v="40"/>
  </r>
  <r>
    <x v="0"/>
    <x v="3"/>
    <x v="3"/>
    <x v="0"/>
    <x v="41"/>
  </r>
  <r>
    <x v="0"/>
    <x v="3"/>
    <x v="3"/>
    <x v="1"/>
    <x v="7"/>
  </r>
  <r>
    <x v="0"/>
    <x v="3"/>
    <x v="4"/>
    <x v="0"/>
    <x v="42"/>
  </r>
  <r>
    <x v="0"/>
    <x v="3"/>
    <x v="4"/>
    <x v="1"/>
    <x v="43"/>
  </r>
  <r>
    <x v="0"/>
    <x v="3"/>
    <x v="5"/>
    <x v="0"/>
    <x v="44"/>
  </r>
  <r>
    <x v="0"/>
    <x v="3"/>
    <x v="5"/>
    <x v="1"/>
    <x v="45"/>
  </r>
  <r>
    <x v="0"/>
    <x v="3"/>
    <x v="6"/>
    <x v="0"/>
    <x v="46"/>
  </r>
  <r>
    <x v="0"/>
    <x v="3"/>
    <x v="6"/>
    <x v="1"/>
    <x v="13"/>
  </r>
  <r>
    <x v="1"/>
    <x v="0"/>
    <x v="0"/>
    <x v="0"/>
    <x v="47"/>
  </r>
  <r>
    <x v="1"/>
    <x v="0"/>
    <x v="0"/>
    <x v="1"/>
    <x v="48"/>
  </r>
  <r>
    <x v="1"/>
    <x v="0"/>
    <x v="1"/>
    <x v="0"/>
    <x v="49"/>
  </r>
  <r>
    <x v="1"/>
    <x v="0"/>
    <x v="1"/>
    <x v="1"/>
    <x v="50"/>
  </r>
  <r>
    <x v="1"/>
    <x v="0"/>
    <x v="2"/>
    <x v="0"/>
    <x v="51"/>
  </r>
  <r>
    <x v="1"/>
    <x v="0"/>
    <x v="2"/>
    <x v="1"/>
    <x v="52"/>
  </r>
  <r>
    <x v="1"/>
    <x v="0"/>
    <x v="3"/>
    <x v="0"/>
    <x v="53"/>
  </r>
  <r>
    <x v="1"/>
    <x v="0"/>
    <x v="3"/>
    <x v="1"/>
    <x v="7"/>
  </r>
  <r>
    <x v="1"/>
    <x v="0"/>
    <x v="4"/>
    <x v="0"/>
    <x v="42"/>
  </r>
  <r>
    <x v="1"/>
    <x v="0"/>
    <x v="4"/>
    <x v="1"/>
    <x v="54"/>
  </r>
  <r>
    <x v="1"/>
    <x v="0"/>
    <x v="5"/>
    <x v="0"/>
    <x v="44"/>
  </r>
  <r>
    <x v="1"/>
    <x v="0"/>
    <x v="5"/>
    <x v="1"/>
    <x v="23"/>
  </r>
  <r>
    <x v="1"/>
    <x v="0"/>
    <x v="6"/>
    <x v="0"/>
    <x v="55"/>
  </r>
  <r>
    <x v="1"/>
    <x v="0"/>
    <x v="6"/>
    <x v="1"/>
    <x v="56"/>
  </r>
  <r>
    <x v="1"/>
    <x v="1"/>
    <x v="0"/>
    <x v="0"/>
    <x v="57"/>
  </r>
  <r>
    <x v="1"/>
    <x v="1"/>
    <x v="0"/>
    <x v="1"/>
    <x v="58"/>
  </r>
  <r>
    <x v="1"/>
    <x v="1"/>
    <x v="1"/>
    <x v="0"/>
    <x v="59"/>
  </r>
  <r>
    <x v="1"/>
    <x v="1"/>
    <x v="1"/>
    <x v="1"/>
    <x v="50"/>
  </r>
  <r>
    <x v="1"/>
    <x v="1"/>
    <x v="2"/>
    <x v="0"/>
    <x v="60"/>
  </r>
  <r>
    <x v="1"/>
    <x v="1"/>
    <x v="2"/>
    <x v="1"/>
    <x v="40"/>
  </r>
  <r>
    <x v="1"/>
    <x v="1"/>
    <x v="3"/>
    <x v="0"/>
    <x v="61"/>
  </r>
  <r>
    <x v="1"/>
    <x v="1"/>
    <x v="3"/>
    <x v="1"/>
    <x v="7"/>
  </r>
  <r>
    <x v="1"/>
    <x v="1"/>
    <x v="4"/>
    <x v="0"/>
    <x v="62"/>
  </r>
  <r>
    <x v="1"/>
    <x v="1"/>
    <x v="4"/>
    <x v="1"/>
    <x v="43"/>
  </r>
  <r>
    <x v="1"/>
    <x v="1"/>
    <x v="5"/>
    <x v="0"/>
    <x v="10"/>
  </r>
  <r>
    <x v="1"/>
    <x v="1"/>
    <x v="5"/>
    <x v="1"/>
    <x v="45"/>
  </r>
  <r>
    <x v="1"/>
    <x v="1"/>
    <x v="6"/>
    <x v="0"/>
    <x v="63"/>
  </r>
  <r>
    <x v="1"/>
    <x v="1"/>
    <x v="6"/>
    <x v="1"/>
    <x v="56"/>
  </r>
  <r>
    <x v="1"/>
    <x v="2"/>
    <x v="0"/>
    <x v="0"/>
    <x v="64"/>
  </r>
  <r>
    <x v="1"/>
    <x v="2"/>
    <x v="0"/>
    <x v="1"/>
    <x v="1"/>
  </r>
  <r>
    <x v="1"/>
    <x v="2"/>
    <x v="1"/>
    <x v="0"/>
    <x v="65"/>
  </r>
  <r>
    <x v="1"/>
    <x v="2"/>
    <x v="1"/>
    <x v="1"/>
    <x v="38"/>
  </r>
  <r>
    <x v="1"/>
    <x v="2"/>
    <x v="2"/>
    <x v="0"/>
    <x v="66"/>
  </r>
  <r>
    <x v="1"/>
    <x v="2"/>
    <x v="2"/>
    <x v="1"/>
    <x v="67"/>
  </r>
  <r>
    <x v="1"/>
    <x v="2"/>
    <x v="3"/>
    <x v="0"/>
    <x v="68"/>
  </r>
  <r>
    <x v="1"/>
    <x v="2"/>
    <x v="3"/>
    <x v="1"/>
    <x v="7"/>
  </r>
  <r>
    <x v="1"/>
    <x v="2"/>
    <x v="4"/>
    <x v="0"/>
    <x v="69"/>
  </r>
  <r>
    <x v="1"/>
    <x v="2"/>
    <x v="4"/>
    <x v="1"/>
    <x v="43"/>
  </r>
  <r>
    <x v="1"/>
    <x v="2"/>
    <x v="5"/>
    <x v="0"/>
    <x v="70"/>
  </r>
  <r>
    <x v="1"/>
    <x v="2"/>
    <x v="5"/>
    <x v="1"/>
    <x v="71"/>
  </r>
  <r>
    <x v="1"/>
    <x v="2"/>
    <x v="6"/>
    <x v="0"/>
    <x v="72"/>
  </r>
  <r>
    <x v="1"/>
    <x v="2"/>
    <x v="6"/>
    <x v="1"/>
    <x v="56"/>
  </r>
  <r>
    <x v="1"/>
    <x v="3"/>
    <x v="0"/>
    <x v="0"/>
    <x v="73"/>
  </r>
  <r>
    <x v="1"/>
    <x v="3"/>
    <x v="0"/>
    <x v="1"/>
    <x v="74"/>
  </r>
  <r>
    <x v="1"/>
    <x v="3"/>
    <x v="1"/>
    <x v="0"/>
    <x v="75"/>
  </r>
  <r>
    <x v="1"/>
    <x v="3"/>
    <x v="1"/>
    <x v="1"/>
    <x v="76"/>
  </r>
  <r>
    <x v="1"/>
    <x v="3"/>
    <x v="2"/>
    <x v="0"/>
    <x v="77"/>
  </r>
  <r>
    <x v="1"/>
    <x v="3"/>
    <x v="2"/>
    <x v="1"/>
    <x v="78"/>
  </r>
  <r>
    <x v="1"/>
    <x v="3"/>
    <x v="3"/>
    <x v="0"/>
    <x v="79"/>
  </r>
  <r>
    <x v="1"/>
    <x v="3"/>
    <x v="3"/>
    <x v="1"/>
    <x v="80"/>
  </r>
  <r>
    <x v="1"/>
    <x v="3"/>
    <x v="4"/>
    <x v="0"/>
    <x v="81"/>
  </r>
  <r>
    <x v="1"/>
    <x v="3"/>
    <x v="4"/>
    <x v="1"/>
    <x v="82"/>
  </r>
  <r>
    <x v="1"/>
    <x v="3"/>
    <x v="5"/>
    <x v="0"/>
    <x v="83"/>
  </r>
  <r>
    <x v="1"/>
    <x v="3"/>
    <x v="5"/>
    <x v="1"/>
    <x v="71"/>
  </r>
  <r>
    <x v="1"/>
    <x v="3"/>
    <x v="6"/>
    <x v="0"/>
    <x v="84"/>
  </r>
  <r>
    <x v="1"/>
    <x v="3"/>
    <x v="6"/>
    <x v="1"/>
    <x v="56"/>
  </r>
  <r>
    <x v="2"/>
    <x v="0"/>
    <x v="0"/>
    <x v="0"/>
    <x v="85"/>
  </r>
  <r>
    <x v="2"/>
    <x v="0"/>
    <x v="0"/>
    <x v="1"/>
    <x v="86"/>
  </r>
  <r>
    <x v="2"/>
    <x v="0"/>
    <x v="1"/>
    <x v="0"/>
    <x v="87"/>
  </r>
  <r>
    <x v="2"/>
    <x v="0"/>
    <x v="1"/>
    <x v="1"/>
    <x v="88"/>
  </r>
  <r>
    <x v="2"/>
    <x v="0"/>
    <x v="2"/>
    <x v="0"/>
    <x v="89"/>
  </r>
  <r>
    <x v="2"/>
    <x v="0"/>
    <x v="2"/>
    <x v="1"/>
    <x v="90"/>
  </r>
  <r>
    <x v="2"/>
    <x v="0"/>
    <x v="3"/>
    <x v="0"/>
    <x v="91"/>
  </r>
  <r>
    <x v="2"/>
    <x v="0"/>
    <x v="3"/>
    <x v="1"/>
    <x v="80"/>
  </r>
  <r>
    <x v="2"/>
    <x v="0"/>
    <x v="4"/>
    <x v="0"/>
    <x v="92"/>
  </r>
  <r>
    <x v="2"/>
    <x v="0"/>
    <x v="4"/>
    <x v="1"/>
    <x v="82"/>
  </r>
  <r>
    <x v="2"/>
    <x v="0"/>
    <x v="5"/>
    <x v="0"/>
    <x v="83"/>
  </r>
  <r>
    <x v="2"/>
    <x v="0"/>
    <x v="5"/>
    <x v="1"/>
    <x v="71"/>
  </r>
  <r>
    <x v="2"/>
    <x v="0"/>
    <x v="6"/>
    <x v="0"/>
    <x v="93"/>
  </r>
  <r>
    <x v="2"/>
    <x v="0"/>
    <x v="6"/>
    <x v="1"/>
    <x v="56"/>
  </r>
  <r>
    <x v="2"/>
    <x v="1"/>
    <x v="0"/>
    <x v="0"/>
    <x v="94"/>
  </r>
  <r>
    <x v="2"/>
    <x v="1"/>
    <x v="0"/>
    <x v="1"/>
    <x v="95"/>
  </r>
  <r>
    <x v="2"/>
    <x v="1"/>
    <x v="1"/>
    <x v="0"/>
    <x v="96"/>
  </r>
  <r>
    <x v="2"/>
    <x v="1"/>
    <x v="1"/>
    <x v="1"/>
    <x v="97"/>
  </r>
  <r>
    <x v="2"/>
    <x v="1"/>
    <x v="2"/>
    <x v="0"/>
    <x v="98"/>
  </r>
  <r>
    <x v="2"/>
    <x v="1"/>
    <x v="2"/>
    <x v="1"/>
    <x v="78"/>
  </r>
  <r>
    <x v="2"/>
    <x v="1"/>
    <x v="3"/>
    <x v="0"/>
    <x v="99"/>
  </r>
  <r>
    <x v="2"/>
    <x v="1"/>
    <x v="3"/>
    <x v="1"/>
    <x v="80"/>
  </r>
  <r>
    <x v="2"/>
    <x v="1"/>
    <x v="4"/>
    <x v="0"/>
    <x v="100"/>
  </r>
  <r>
    <x v="2"/>
    <x v="1"/>
    <x v="4"/>
    <x v="1"/>
    <x v="54"/>
  </r>
  <r>
    <x v="2"/>
    <x v="1"/>
    <x v="5"/>
    <x v="0"/>
    <x v="83"/>
  </r>
  <r>
    <x v="2"/>
    <x v="1"/>
    <x v="5"/>
    <x v="1"/>
    <x v="101"/>
  </r>
  <r>
    <x v="2"/>
    <x v="1"/>
    <x v="6"/>
    <x v="0"/>
    <x v="102"/>
  </r>
  <r>
    <x v="2"/>
    <x v="1"/>
    <x v="6"/>
    <x v="1"/>
    <x v="56"/>
  </r>
  <r>
    <x v="2"/>
    <x v="2"/>
    <x v="0"/>
    <x v="0"/>
    <x v="103"/>
  </r>
  <r>
    <x v="2"/>
    <x v="2"/>
    <x v="0"/>
    <x v="1"/>
    <x v="104"/>
  </r>
  <r>
    <x v="2"/>
    <x v="2"/>
    <x v="1"/>
    <x v="0"/>
    <x v="105"/>
  </r>
  <r>
    <x v="2"/>
    <x v="2"/>
    <x v="1"/>
    <x v="1"/>
    <x v="106"/>
  </r>
  <r>
    <x v="2"/>
    <x v="2"/>
    <x v="2"/>
    <x v="0"/>
    <x v="107"/>
  </r>
  <r>
    <x v="2"/>
    <x v="2"/>
    <x v="2"/>
    <x v="1"/>
    <x v="52"/>
  </r>
  <r>
    <x v="2"/>
    <x v="2"/>
    <x v="3"/>
    <x v="0"/>
    <x v="108"/>
  </r>
  <r>
    <x v="2"/>
    <x v="2"/>
    <x v="3"/>
    <x v="1"/>
    <x v="80"/>
  </r>
  <r>
    <x v="2"/>
    <x v="2"/>
    <x v="4"/>
    <x v="0"/>
    <x v="109"/>
  </r>
  <r>
    <x v="2"/>
    <x v="2"/>
    <x v="4"/>
    <x v="1"/>
    <x v="54"/>
  </r>
  <r>
    <x v="2"/>
    <x v="2"/>
    <x v="5"/>
    <x v="0"/>
    <x v="110"/>
  </r>
  <r>
    <x v="2"/>
    <x v="2"/>
    <x v="5"/>
    <x v="1"/>
    <x v="101"/>
  </r>
  <r>
    <x v="2"/>
    <x v="2"/>
    <x v="6"/>
    <x v="0"/>
    <x v="111"/>
  </r>
  <r>
    <x v="2"/>
    <x v="2"/>
    <x v="6"/>
    <x v="1"/>
    <x v="56"/>
  </r>
  <r>
    <x v="2"/>
    <x v="3"/>
    <x v="0"/>
    <x v="0"/>
    <x v="112"/>
  </r>
  <r>
    <x v="2"/>
    <x v="3"/>
    <x v="0"/>
    <x v="1"/>
    <x v="74"/>
  </r>
  <r>
    <x v="2"/>
    <x v="3"/>
    <x v="1"/>
    <x v="0"/>
    <x v="113"/>
  </r>
  <r>
    <x v="2"/>
    <x v="3"/>
    <x v="1"/>
    <x v="1"/>
    <x v="114"/>
  </r>
  <r>
    <x v="2"/>
    <x v="3"/>
    <x v="2"/>
    <x v="0"/>
    <x v="115"/>
  </r>
  <r>
    <x v="2"/>
    <x v="3"/>
    <x v="2"/>
    <x v="1"/>
    <x v="116"/>
  </r>
  <r>
    <x v="2"/>
    <x v="3"/>
    <x v="3"/>
    <x v="0"/>
    <x v="117"/>
  </r>
  <r>
    <x v="2"/>
    <x v="3"/>
    <x v="3"/>
    <x v="1"/>
    <x v="118"/>
  </r>
  <r>
    <x v="2"/>
    <x v="3"/>
    <x v="4"/>
    <x v="0"/>
    <x v="119"/>
  </r>
  <r>
    <x v="2"/>
    <x v="3"/>
    <x v="4"/>
    <x v="1"/>
    <x v="82"/>
  </r>
  <r>
    <x v="2"/>
    <x v="3"/>
    <x v="5"/>
    <x v="0"/>
    <x v="120"/>
  </r>
  <r>
    <x v="2"/>
    <x v="3"/>
    <x v="5"/>
    <x v="1"/>
    <x v="121"/>
  </r>
  <r>
    <x v="2"/>
    <x v="3"/>
    <x v="6"/>
    <x v="0"/>
    <x v="122"/>
  </r>
  <r>
    <x v="2"/>
    <x v="3"/>
    <x v="6"/>
    <x v="1"/>
    <x v="56"/>
  </r>
  <r>
    <x v="3"/>
    <x v="0"/>
    <x v="0"/>
    <x v="0"/>
    <x v="123"/>
  </r>
  <r>
    <x v="3"/>
    <x v="0"/>
    <x v="0"/>
    <x v="1"/>
    <x v="86"/>
  </r>
  <r>
    <x v="3"/>
    <x v="0"/>
    <x v="1"/>
    <x v="0"/>
    <x v="124"/>
  </r>
  <r>
    <x v="3"/>
    <x v="0"/>
    <x v="1"/>
    <x v="1"/>
    <x v="125"/>
  </r>
  <r>
    <x v="3"/>
    <x v="0"/>
    <x v="2"/>
    <x v="0"/>
    <x v="115"/>
  </r>
  <r>
    <x v="3"/>
    <x v="0"/>
    <x v="2"/>
    <x v="1"/>
    <x v="126"/>
  </r>
  <r>
    <x v="3"/>
    <x v="0"/>
    <x v="3"/>
    <x v="0"/>
    <x v="127"/>
  </r>
  <r>
    <x v="3"/>
    <x v="0"/>
    <x v="3"/>
    <x v="1"/>
    <x v="118"/>
  </r>
  <r>
    <x v="3"/>
    <x v="0"/>
    <x v="4"/>
    <x v="0"/>
    <x v="128"/>
  </r>
  <r>
    <x v="3"/>
    <x v="0"/>
    <x v="4"/>
    <x v="1"/>
    <x v="82"/>
  </r>
  <r>
    <x v="3"/>
    <x v="0"/>
    <x v="5"/>
    <x v="0"/>
    <x v="120"/>
  </r>
  <r>
    <x v="3"/>
    <x v="0"/>
    <x v="5"/>
    <x v="1"/>
    <x v="121"/>
  </r>
  <r>
    <x v="3"/>
    <x v="0"/>
    <x v="6"/>
    <x v="0"/>
    <x v="129"/>
  </r>
  <r>
    <x v="3"/>
    <x v="0"/>
    <x v="6"/>
    <x v="1"/>
    <x v="56"/>
  </r>
  <r>
    <x v="3"/>
    <x v="1"/>
    <x v="0"/>
    <x v="0"/>
    <x v="130"/>
  </r>
  <r>
    <x v="3"/>
    <x v="1"/>
    <x v="0"/>
    <x v="1"/>
    <x v="74"/>
  </r>
  <r>
    <x v="3"/>
    <x v="1"/>
    <x v="1"/>
    <x v="0"/>
    <x v="131"/>
  </r>
  <r>
    <x v="3"/>
    <x v="1"/>
    <x v="1"/>
    <x v="1"/>
    <x v="114"/>
  </r>
  <r>
    <x v="3"/>
    <x v="1"/>
    <x v="2"/>
    <x v="0"/>
    <x v="132"/>
  </r>
  <r>
    <x v="3"/>
    <x v="1"/>
    <x v="2"/>
    <x v="1"/>
    <x v="116"/>
  </r>
  <r>
    <x v="3"/>
    <x v="1"/>
    <x v="3"/>
    <x v="0"/>
    <x v="133"/>
  </r>
  <r>
    <x v="3"/>
    <x v="1"/>
    <x v="3"/>
    <x v="1"/>
    <x v="118"/>
  </r>
  <r>
    <x v="3"/>
    <x v="1"/>
    <x v="4"/>
    <x v="0"/>
    <x v="134"/>
  </r>
  <r>
    <x v="3"/>
    <x v="1"/>
    <x v="4"/>
    <x v="1"/>
    <x v="82"/>
  </r>
  <r>
    <x v="3"/>
    <x v="1"/>
    <x v="5"/>
    <x v="0"/>
    <x v="120"/>
  </r>
  <r>
    <x v="3"/>
    <x v="1"/>
    <x v="5"/>
    <x v="1"/>
    <x v="121"/>
  </r>
  <r>
    <x v="3"/>
    <x v="1"/>
    <x v="6"/>
    <x v="0"/>
    <x v="135"/>
  </r>
  <r>
    <x v="3"/>
    <x v="1"/>
    <x v="6"/>
    <x v="1"/>
    <x v="13"/>
  </r>
  <r>
    <x v="3"/>
    <x v="2"/>
    <x v="0"/>
    <x v="0"/>
    <x v="136"/>
  </r>
  <r>
    <x v="3"/>
    <x v="2"/>
    <x v="0"/>
    <x v="1"/>
    <x v="36"/>
  </r>
  <r>
    <x v="3"/>
    <x v="2"/>
    <x v="1"/>
    <x v="0"/>
    <x v="137"/>
  </r>
  <r>
    <x v="3"/>
    <x v="2"/>
    <x v="1"/>
    <x v="1"/>
    <x v="88"/>
  </r>
  <r>
    <x v="3"/>
    <x v="2"/>
    <x v="2"/>
    <x v="0"/>
    <x v="138"/>
  </r>
  <r>
    <x v="3"/>
    <x v="2"/>
    <x v="2"/>
    <x v="1"/>
    <x v="139"/>
  </r>
  <r>
    <x v="3"/>
    <x v="2"/>
    <x v="3"/>
    <x v="0"/>
    <x v="140"/>
  </r>
  <r>
    <x v="3"/>
    <x v="2"/>
    <x v="3"/>
    <x v="1"/>
    <x v="118"/>
  </r>
  <r>
    <x v="3"/>
    <x v="2"/>
    <x v="4"/>
    <x v="0"/>
    <x v="141"/>
  </r>
  <r>
    <x v="3"/>
    <x v="2"/>
    <x v="4"/>
    <x v="1"/>
    <x v="54"/>
  </r>
  <r>
    <x v="3"/>
    <x v="2"/>
    <x v="5"/>
    <x v="0"/>
    <x v="142"/>
  </r>
  <r>
    <x v="3"/>
    <x v="2"/>
    <x v="5"/>
    <x v="1"/>
    <x v="143"/>
  </r>
  <r>
    <x v="3"/>
    <x v="2"/>
    <x v="6"/>
    <x v="0"/>
    <x v="144"/>
  </r>
  <r>
    <x v="3"/>
    <x v="2"/>
    <x v="6"/>
    <x v="1"/>
    <x v="13"/>
  </r>
  <r>
    <x v="3"/>
    <x v="3"/>
    <x v="0"/>
    <x v="0"/>
    <x v="145"/>
  </r>
  <r>
    <x v="3"/>
    <x v="3"/>
    <x v="0"/>
    <x v="1"/>
    <x v="86"/>
  </r>
  <r>
    <x v="3"/>
    <x v="3"/>
    <x v="1"/>
    <x v="0"/>
    <x v="146"/>
  </r>
  <r>
    <x v="3"/>
    <x v="3"/>
    <x v="1"/>
    <x v="1"/>
    <x v="147"/>
  </r>
  <r>
    <x v="3"/>
    <x v="3"/>
    <x v="2"/>
    <x v="0"/>
    <x v="148"/>
  </r>
  <r>
    <x v="3"/>
    <x v="3"/>
    <x v="2"/>
    <x v="1"/>
    <x v="149"/>
  </r>
  <r>
    <x v="3"/>
    <x v="3"/>
    <x v="3"/>
    <x v="0"/>
    <x v="150"/>
  </r>
  <r>
    <x v="3"/>
    <x v="3"/>
    <x v="3"/>
    <x v="1"/>
    <x v="151"/>
  </r>
  <r>
    <x v="3"/>
    <x v="3"/>
    <x v="4"/>
    <x v="0"/>
    <x v="152"/>
  </r>
  <r>
    <x v="3"/>
    <x v="3"/>
    <x v="4"/>
    <x v="1"/>
    <x v="153"/>
  </r>
  <r>
    <x v="3"/>
    <x v="3"/>
    <x v="5"/>
    <x v="0"/>
    <x v="154"/>
  </r>
  <r>
    <x v="3"/>
    <x v="3"/>
    <x v="5"/>
    <x v="1"/>
    <x v="155"/>
  </r>
  <r>
    <x v="3"/>
    <x v="3"/>
    <x v="6"/>
    <x v="0"/>
    <x v="156"/>
  </r>
  <r>
    <x v="3"/>
    <x v="3"/>
    <x v="6"/>
    <x v="1"/>
    <x v="13"/>
  </r>
  <r>
    <x v="4"/>
    <x v="0"/>
    <x v="0"/>
    <x v="0"/>
    <x v="157"/>
  </r>
  <r>
    <x v="4"/>
    <x v="0"/>
    <x v="0"/>
    <x v="1"/>
    <x v="158"/>
  </r>
  <r>
    <x v="4"/>
    <x v="0"/>
    <x v="1"/>
    <x v="0"/>
    <x v="159"/>
  </r>
  <r>
    <x v="4"/>
    <x v="0"/>
    <x v="1"/>
    <x v="1"/>
    <x v="15"/>
  </r>
  <r>
    <x v="4"/>
    <x v="0"/>
    <x v="2"/>
    <x v="0"/>
    <x v="160"/>
  </r>
  <r>
    <x v="4"/>
    <x v="0"/>
    <x v="2"/>
    <x v="1"/>
    <x v="161"/>
  </r>
  <r>
    <x v="4"/>
    <x v="0"/>
    <x v="3"/>
    <x v="0"/>
    <x v="162"/>
  </r>
  <r>
    <x v="4"/>
    <x v="0"/>
    <x v="3"/>
    <x v="1"/>
    <x v="163"/>
  </r>
  <r>
    <x v="4"/>
    <x v="0"/>
    <x v="4"/>
    <x v="0"/>
    <x v="164"/>
  </r>
  <r>
    <x v="4"/>
    <x v="0"/>
    <x v="4"/>
    <x v="1"/>
    <x v="153"/>
  </r>
  <r>
    <x v="4"/>
    <x v="0"/>
    <x v="5"/>
    <x v="0"/>
    <x v="165"/>
  </r>
  <r>
    <x v="4"/>
    <x v="0"/>
    <x v="5"/>
    <x v="1"/>
    <x v="166"/>
  </r>
  <r>
    <x v="4"/>
    <x v="0"/>
    <x v="6"/>
    <x v="0"/>
    <x v="167"/>
  </r>
  <r>
    <x v="4"/>
    <x v="0"/>
    <x v="6"/>
    <x v="1"/>
    <x v="168"/>
  </r>
  <r>
    <x v="4"/>
    <x v="1"/>
    <x v="0"/>
    <x v="0"/>
    <x v="169"/>
  </r>
  <r>
    <x v="4"/>
    <x v="1"/>
    <x v="0"/>
    <x v="1"/>
    <x v="74"/>
  </r>
  <r>
    <x v="4"/>
    <x v="1"/>
    <x v="1"/>
    <x v="0"/>
    <x v="170"/>
  </r>
  <r>
    <x v="4"/>
    <x v="1"/>
    <x v="1"/>
    <x v="1"/>
    <x v="147"/>
  </r>
  <r>
    <x v="4"/>
    <x v="1"/>
    <x v="2"/>
    <x v="0"/>
    <x v="171"/>
  </r>
  <r>
    <x v="4"/>
    <x v="1"/>
    <x v="2"/>
    <x v="1"/>
    <x v="149"/>
  </r>
  <r>
    <x v="4"/>
    <x v="1"/>
    <x v="3"/>
    <x v="0"/>
    <x v="172"/>
  </r>
  <r>
    <x v="4"/>
    <x v="1"/>
    <x v="3"/>
    <x v="1"/>
    <x v="151"/>
  </r>
  <r>
    <x v="4"/>
    <x v="1"/>
    <x v="4"/>
    <x v="0"/>
    <x v="173"/>
  </r>
  <r>
    <x v="4"/>
    <x v="1"/>
    <x v="4"/>
    <x v="1"/>
    <x v="82"/>
  </r>
  <r>
    <x v="4"/>
    <x v="1"/>
    <x v="5"/>
    <x v="0"/>
    <x v="174"/>
  </r>
  <r>
    <x v="4"/>
    <x v="1"/>
    <x v="5"/>
    <x v="1"/>
    <x v="166"/>
  </r>
  <r>
    <x v="4"/>
    <x v="1"/>
    <x v="6"/>
    <x v="0"/>
    <x v="175"/>
  </r>
  <r>
    <x v="4"/>
    <x v="1"/>
    <x v="6"/>
    <x v="1"/>
    <x v="168"/>
  </r>
  <r>
    <x v="4"/>
    <x v="2"/>
    <x v="0"/>
    <x v="0"/>
    <x v="176"/>
  </r>
  <r>
    <x v="4"/>
    <x v="2"/>
    <x v="0"/>
    <x v="1"/>
    <x v="36"/>
  </r>
  <r>
    <x v="4"/>
    <x v="2"/>
    <x v="1"/>
    <x v="0"/>
    <x v="177"/>
  </r>
  <r>
    <x v="4"/>
    <x v="2"/>
    <x v="1"/>
    <x v="1"/>
    <x v="114"/>
  </r>
  <r>
    <x v="4"/>
    <x v="2"/>
    <x v="2"/>
    <x v="0"/>
    <x v="178"/>
  </r>
  <r>
    <x v="4"/>
    <x v="2"/>
    <x v="2"/>
    <x v="1"/>
    <x v="78"/>
  </r>
  <r>
    <x v="4"/>
    <x v="2"/>
    <x v="3"/>
    <x v="0"/>
    <x v="179"/>
  </r>
  <r>
    <x v="4"/>
    <x v="2"/>
    <x v="3"/>
    <x v="1"/>
    <x v="151"/>
  </r>
  <r>
    <x v="4"/>
    <x v="2"/>
    <x v="4"/>
    <x v="0"/>
    <x v="180"/>
  </r>
  <r>
    <x v="4"/>
    <x v="2"/>
    <x v="4"/>
    <x v="1"/>
    <x v="82"/>
  </r>
  <r>
    <x v="4"/>
    <x v="2"/>
    <x v="5"/>
    <x v="0"/>
    <x v="181"/>
  </r>
  <r>
    <x v="4"/>
    <x v="2"/>
    <x v="5"/>
    <x v="1"/>
    <x v="182"/>
  </r>
  <r>
    <x v="4"/>
    <x v="2"/>
    <x v="6"/>
    <x v="0"/>
    <x v="183"/>
  </r>
  <r>
    <x v="4"/>
    <x v="2"/>
    <x v="6"/>
    <x v="1"/>
    <x v="168"/>
  </r>
  <r>
    <x v="4"/>
    <x v="3"/>
    <x v="0"/>
    <x v="0"/>
    <x v="184"/>
  </r>
  <r>
    <x v="4"/>
    <x v="3"/>
    <x v="0"/>
    <x v="1"/>
    <x v="74"/>
  </r>
  <r>
    <x v="4"/>
    <x v="3"/>
    <x v="1"/>
    <x v="0"/>
    <x v="185"/>
  </r>
  <r>
    <x v="4"/>
    <x v="3"/>
    <x v="1"/>
    <x v="1"/>
    <x v="1"/>
  </r>
  <r>
    <x v="4"/>
    <x v="3"/>
    <x v="2"/>
    <x v="0"/>
    <x v="186"/>
  </r>
  <r>
    <x v="4"/>
    <x v="3"/>
    <x v="2"/>
    <x v="1"/>
    <x v="187"/>
  </r>
  <r>
    <x v="4"/>
    <x v="3"/>
    <x v="3"/>
    <x v="0"/>
    <x v="62"/>
  </r>
  <r>
    <x v="4"/>
    <x v="3"/>
    <x v="3"/>
    <x v="1"/>
    <x v="188"/>
  </r>
  <r>
    <x v="4"/>
    <x v="3"/>
    <x v="4"/>
    <x v="0"/>
    <x v="189"/>
  </r>
  <r>
    <x v="4"/>
    <x v="3"/>
    <x v="4"/>
    <x v="1"/>
    <x v="153"/>
  </r>
  <r>
    <x v="4"/>
    <x v="3"/>
    <x v="5"/>
    <x v="0"/>
    <x v="190"/>
  </r>
  <r>
    <x v="4"/>
    <x v="3"/>
    <x v="5"/>
    <x v="1"/>
    <x v="191"/>
  </r>
  <r>
    <x v="4"/>
    <x v="3"/>
    <x v="6"/>
    <x v="0"/>
    <x v="192"/>
  </r>
  <r>
    <x v="4"/>
    <x v="3"/>
    <x v="6"/>
    <x v="1"/>
    <x v="193"/>
  </r>
  <r>
    <x v="5"/>
    <x v="0"/>
    <x v="0"/>
    <x v="0"/>
    <x v="194"/>
  </r>
  <r>
    <x v="5"/>
    <x v="0"/>
    <x v="0"/>
    <x v="1"/>
    <x v="86"/>
  </r>
  <r>
    <x v="5"/>
    <x v="0"/>
    <x v="1"/>
    <x v="0"/>
    <x v="195"/>
  </r>
  <r>
    <x v="5"/>
    <x v="0"/>
    <x v="1"/>
    <x v="1"/>
    <x v="1"/>
  </r>
  <r>
    <x v="5"/>
    <x v="0"/>
    <x v="2"/>
    <x v="0"/>
    <x v="196"/>
  </r>
  <r>
    <x v="5"/>
    <x v="0"/>
    <x v="2"/>
    <x v="1"/>
    <x v="187"/>
  </r>
  <r>
    <x v="5"/>
    <x v="0"/>
    <x v="3"/>
    <x v="0"/>
    <x v="197"/>
  </r>
  <r>
    <x v="5"/>
    <x v="0"/>
    <x v="3"/>
    <x v="1"/>
    <x v="188"/>
  </r>
  <r>
    <x v="5"/>
    <x v="0"/>
    <x v="4"/>
    <x v="0"/>
    <x v="198"/>
  </r>
  <r>
    <x v="5"/>
    <x v="0"/>
    <x v="4"/>
    <x v="1"/>
    <x v="153"/>
  </r>
  <r>
    <x v="5"/>
    <x v="0"/>
    <x v="5"/>
    <x v="0"/>
    <x v="199"/>
  </r>
  <r>
    <x v="5"/>
    <x v="0"/>
    <x v="5"/>
    <x v="1"/>
    <x v="200"/>
  </r>
  <r>
    <x v="5"/>
    <x v="0"/>
    <x v="6"/>
    <x v="0"/>
    <x v="201"/>
  </r>
  <r>
    <x v="5"/>
    <x v="0"/>
    <x v="6"/>
    <x v="1"/>
    <x v="193"/>
  </r>
  <r>
    <x v="5"/>
    <x v="1"/>
    <x v="0"/>
    <x v="0"/>
    <x v="202"/>
  </r>
  <r>
    <x v="5"/>
    <x v="1"/>
    <x v="0"/>
    <x v="1"/>
    <x v="95"/>
  </r>
  <r>
    <x v="5"/>
    <x v="1"/>
    <x v="1"/>
    <x v="0"/>
    <x v="203"/>
  </r>
  <r>
    <x v="5"/>
    <x v="1"/>
    <x v="1"/>
    <x v="1"/>
    <x v="15"/>
  </r>
  <r>
    <x v="5"/>
    <x v="1"/>
    <x v="2"/>
    <x v="0"/>
    <x v="204"/>
  </r>
  <r>
    <x v="5"/>
    <x v="1"/>
    <x v="2"/>
    <x v="1"/>
    <x v="126"/>
  </r>
  <r>
    <x v="5"/>
    <x v="1"/>
    <x v="3"/>
    <x v="0"/>
    <x v="205"/>
  </r>
  <r>
    <x v="5"/>
    <x v="1"/>
    <x v="3"/>
    <x v="1"/>
    <x v="188"/>
  </r>
  <r>
    <x v="5"/>
    <x v="1"/>
    <x v="4"/>
    <x v="0"/>
    <x v="206"/>
  </r>
  <r>
    <x v="5"/>
    <x v="1"/>
    <x v="4"/>
    <x v="1"/>
    <x v="82"/>
  </r>
  <r>
    <x v="5"/>
    <x v="1"/>
    <x v="5"/>
    <x v="0"/>
    <x v="207"/>
  </r>
  <r>
    <x v="5"/>
    <x v="1"/>
    <x v="5"/>
    <x v="1"/>
    <x v="200"/>
  </r>
  <r>
    <x v="5"/>
    <x v="1"/>
    <x v="6"/>
    <x v="0"/>
    <x v="208"/>
  </r>
  <r>
    <x v="5"/>
    <x v="1"/>
    <x v="6"/>
    <x v="1"/>
    <x v="209"/>
  </r>
  <r>
    <x v="5"/>
    <x v="2"/>
    <x v="0"/>
    <x v="0"/>
    <x v="210"/>
  </r>
  <r>
    <x v="5"/>
    <x v="2"/>
    <x v="0"/>
    <x v="1"/>
    <x v="36"/>
  </r>
  <r>
    <x v="5"/>
    <x v="2"/>
    <x v="1"/>
    <x v="0"/>
    <x v="211"/>
  </r>
  <r>
    <x v="5"/>
    <x v="2"/>
    <x v="1"/>
    <x v="1"/>
    <x v="212"/>
  </r>
  <r>
    <x v="5"/>
    <x v="2"/>
    <x v="2"/>
    <x v="0"/>
    <x v="204"/>
  </r>
  <r>
    <x v="5"/>
    <x v="2"/>
    <x v="2"/>
    <x v="1"/>
    <x v="90"/>
  </r>
  <r>
    <x v="5"/>
    <x v="2"/>
    <x v="3"/>
    <x v="0"/>
    <x v="213"/>
  </r>
  <r>
    <x v="5"/>
    <x v="2"/>
    <x v="3"/>
    <x v="1"/>
    <x v="188"/>
  </r>
  <r>
    <x v="5"/>
    <x v="2"/>
    <x v="4"/>
    <x v="0"/>
    <x v="214"/>
  </r>
  <r>
    <x v="5"/>
    <x v="2"/>
    <x v="4"/>
    <x v="1"/>
    <x v="82"/>
  </r>
  <r>
    <x v="5"/>
    <x v="2"/>
    <x v="5"/>
    <x v="0"/>
    <x v="215"/>
  </r>
  <r>
    <x v="5"/>
    <x v="2"/>
    <x v="5"/>
    <x v="1"/>
    <x v="216"/>
  </r>
  <r>
    <x v="5"/>
    <x v="2"/>
    <x v="6"/>
    <x v="0"/>
    <x v="217"/>
  </r>
  <r>
    <x v="5"/>
    <x v="2"/>
    <x v="6"/>
    <x v="1"/>
    <x v="209"/>
  </r>
  <r>
    <x v="5"/>
    <x v="3"/>
    <x v="0"/>
    <x v="0"/>
    <x v="218"/>
  </r>
  <r>
    <x v="5"/>
    <x v="3"/>
    <x v="0"/>
    <x v="1"/>
    <x v="86"/>
  </r>
  <r>
    <x v="5"/>
    <x v="3"/>
    <x v="1"/>
    <x v="0"/>
    <x v="219"/>
  </r>
  <r>
    <x v="5"/>
    <x v="3"/>
    <x v="1"/>
    <x v="1"/>
    <x v="58"/>
  </r>
  <r>
    <x v="5"/>
    <x v="3"/>
    <x v="2"/>
    <x v="0"/>
    <x v="220"/>
  </r>
  <r>
    <x v="5"/>
    <x v="3"/>
    <x v="2"/>
    <x v="1"/>
    <x v="221"/>
  </r>
  <r>
    <x v="5"/>
    <x v="3"/>
    <x v="3"/>
    <x v="0"/>
    <x v="222"/>
  </r>
  <r>
    <x v="5"/>
    <x v="3"/>
    <x v="3"/>
    <x v="1"/>
    <x v="163"/>
  </r>
  <r>
    <x v="5"/>
    <x v="3"/>
    <x v="4"/>
    <x v="0"/>
    <x v="223"/>
  </r>
  <r>
    <x v="5"/>
    <x v="3"/>
    <x v="4"/>
    <x v="1"/>
    <x v="153"/>
  </r>
  <r>
    <x v="5"/>
    <x v="3"/>
    <x v="5"/>
    <x v="0"/>
    <x v="224"/>
  </r>
  <r>
    <x v="5"/>
    <x v="3"/>
    <x v="5"/>
    <x v="1"/>
    <x v="225"/>
  </r>
  <r>
    <x v="5"/>
    <x v="3"/>
    <x v="6"/>
    <x v="0"/>
    <x v="226"/>
  </r>
  <r>
    <x v="5"/>
    <x v="3"/>
    <x v="6"/>
    <x v="1"/>
    <x v="227"/>
  </r>
  <r>
    <x v="6"/>
    <x v="0"/>
    <x v="0"/>
    <x v="0"/>
    <x v="228"/>
  </r>
  <r>
    <x v="6"/>
    <x v="0"/>
    <x v="0"/>
    <x v="1"/>
    <x v="86"/>
  </r>
  <r>
    <x v="6"/>
    <x v="0"/>
    <x v="1"/>
    <x v="0"/>
    <x v="229"/>
  </r>
  <r>
    <x v="6"/>
    <x v="0"/>
    <x v="1"/>
    <x v="1"/>
    <x v="48"/>
  </r>
  <r>
    <x v="6"/>
    <x v="0"/>
    <x v="2"/>
    <x v="0"/>
    <x v="230"/>
  </r>
  <r>
    <x v="6"/>
    <x v="0"/>
    <x v="2"/>
    <x v="1"/>
    <x v="231"/>
  </r>
  <r>
    <x v="6"/>
    <x v="0"/>
    <x v="3"/>
    <x v="0"/>
    <x v="232"/>
  </r>
  <r>
    <x v="6"/>
    <x v="0"/>
    <x v="3"/>
    <x v="1"/>
    <x v="163"/>
  </r>
  <r>
    <x v="6"/>
    <x v="0"/>
    <x v="4"/>
    <x v="0"/>
    <x v="233"/>
  </r>
  <r>
    <x v="6"/>
    <x v="0"/>
    <x v="4"/>
    <x v="1"/>
    <x v="153"/>
  </r>
  <r>
    <x v="6"/>
    <x v="0"/>
    <x v="5"/>
    <x v="0"/>
    <x v="234"/>
  </r>
  <r>
    <x v="6"/>
    <x v="0"/>
    <x v="5"/>
    <x v="1"/>
    <x v="225"/>
  </r>
  <r>
    <x v="6"/>
    <x v="0"/>
    <x v="6"/>
    <x v="0"/>
    <x v="235"/>
  </r>
  <r>
    <x v="6"/>
    <x v="0"/>
    <x v="6"/>
    <x v="1"/>
    <x v="227"/>
  </r>
  <r>
    <x v="6"/>
    <x v="1"/>
    <x v="0"/>
    <x v="0"/>
    <x v="236"/>
  </r>
  <r>
    <x v="6"/>
    <x v="1"/>
    <x v="0"/>
    <x v="1"/>
    <x v="86"/>
  </r>
  <r>
    <x v="6"/>
    <x v="1"/>
    <x v="1"/>
    <x v="0"/>
    <x v="237"/>
  </r>
  <r>
    <x v="6"/>
    <x v="1"/>
    <x v="1"/>
    <x v="1"/>
    <x v="95"/>
  </r>
  <r>
    <x v="6"/>
    <x v="1"/>
    <x v="2"/>
    <x v="0"/>
    <x v="238"/>
  </r>
  <r>
    <x v="6"/>
    <x v="1"/>
    <x v="2"/>
    <x v="1"/>
    <x v="239"/>
  </r>
  <r>
    <x v="6"/>
    <x v="1"/>
    <x v="3"/>
    <x v="0"/>
    <x v="240"/>
  </r>
  <r>
    <x v="6"/>
    <x v="1"/>
    <x v="3"/>
    <x v="1"/>
    <x v="163"/>
  </r>
  <r>
    <x v="6"/>
    <x v="1"/>
    <x v="4"/>
    <x v="0"/>
    <x v="241"/>
  </r>
  <r>
    <x v="6"/>
    <x v="1"/>
    <x v="4"/>
    <x v="1"/>
    <x v="153"/>
  </r>
  <r>
    <x v="6"/>
    <x v="1"/>
    <x v="5"/>
    <x v="0"/>
    <x v="242"/>
  </r>
  <r>
    <x v="6"/>
    <x v="1"/>
    <x v="5"/>
    <x v="1"/>
    <x v="243"/>
  </r>
  <r>
    <x v="6"/>
    <x v="1"/>
    <x v="6"/>
    <x v="0"/>
    <x v="244"/>
  </r>
  <r>
    <x v="6"/>
    <x v="1"/>
    <x v="6"/>
    <x v="1"/>
    <x v="245"/>
  </r>
  <r>
    <x v="6"/>
    <x v="2"/>
    <x v="0"/>
    <x v="0"/>
    <x v="246"/>
  </r>
  <r>
    <x v="6"/>
    <x v="2"/>
    <x v="0"/>
    <x v="1"/>
    <x v="74"/>
  </r>
  <r>
    <x v="6"/>
    <x v="2"/>
    <x v="1"/>
    <x v="0"/>
    <x v="247"/>
  </r>
  <r>
    <x v="6"/>
    <x v="2"/>
    <x v="1"/>
    <x v="1"/>
    <x v="48"/>
  </r>
  <r>
    <x v="6"/>
    <x v="2"/>
    <x v="2"/>
    <x v="0"/>
    <x v="248"/>
  </r>
  <r>
    <x v="6"/>
    <x v="2"/>
    <x v="2"/>
    <x v="1"/>
    <x v="231"/>
  </r>
  <r>
    <x v="6"/>
    <x v="2"/>
    <x v="3"/>
    <x v="0"/>
    <x v="249"/>
  </r>
  <r>
    <x v="6"/>
    <x v="2"/>
    <x v="3"/>
    <x v="1"/>
    <x v="163"/>
  </r>
  <r>
    <x v="6"/>
    <x v="2"/>
    <x v="4"/>
    <x v="0"/>
    <x v="250"/>
  </r>
  <r>
    <x v="6"/>
    <x v="2"/>
    <x v="4"/>
    <x v="1"/>
    <x v="153"/>
  </r>
  <r>
    <x v="6"/>
    <x v="2"/>
    <x v="5"/>
    <x v="0"/>
    <x v="251"/>
  </r>
  <r>
    <x v="6"/>
    <x v="2"/>
    <x v="5"/>
    <x v="1"/>
    <x v="243"/>
  </r>
  <r>
    <x v="6"/>
    <x v="2"/>
    <x v="6"/>
    <x v="0"/>
    <x v="252"/>
  </r>
  <r>
    <x v="6"/>
    <x v="2"/>
    <x v="6"/>
    <x v="1"/>
    <x v="253"/>
  </r>
  <r>
    <x v="6"/>
    <x v="3"/>
    <x v="0"/>
    <x v="0"/>
    <x v="254"/>
  </r>
  <r>
    <x v="6"/>
    <x v="3"/>
    <x v="0"/>
    <x v="1"/>
    <x v="255"/>
  </r>
  <r>
    <x v="6"/>
    <x v="3"/>
    <x v="1"/>
    <x v="0"/>
    <x v="256"/>
  </r>
  <r>
    <x v="6"/>
    <x v="3"/>
    <x v="1"/>
    <x v="1"/>
    <x v="255"/>
  </r>
  <r>
    <x v="6"/>
    <x v="3"/>
    <x v="2"/>
    <x v="0"/>
    <x v="257"/>
  </r>
  <r>
    <x v="6"/>
    <x v="3"/>
    <x v="2"/>
    <x v="1"/>
    <x v="258"/>
  </r>
  <r>
    <x v="6"/>
    <x v="3"/>
    <x v="3"/>
    <x v="0"/>
    <x v="259"/>
  </r>
  <r>
    <x v="6"/>
    <x v="3"/>
    <x v="3"/>
    <x v="1"/>
    <x v="243"/>
  </r>
  <r>
    <x v="6"/>
    <x v="3"/>
    <x v="4"/>
    <x v="0"/>
    <x v="260"/>
  </r>
  <r>
    <x v="6"/>
    <x v="3"/>
    <x v="4"/>
    <x v="1"/>
    <x v="261"/>
  </r>
  <r>
    <x v="6"/>
    <x v="3"/>
    <x v="5"/>
    <x v="0"/>
    <x v="262"/>
  </r>
  <r>
    <x v="6"/>
    <x v="3"/>
    <x v="5"/>
    <x v="1"/>
    <x v="163"/>
  </r>
  <r>
    <x v="6"/>
    <x v="3"/>
    <x v="6"/>
    <x v="0"/>
    <x v="263"/>
  </r>
  <r>
    <x v="6"/>
    <x v="3"/>
    <x v="6"/>
    <x v="1"/>
    <x v="253"/>
  </r>
  <r>
    <x v="7"/>
    <x v="0"/>
    <x v="0"/>
    <x v="0"/>
    <x v="264"/>
  </r>
  <r>
    <x v="7"/>
    <x v="0"/>
    <x v="0"/>
    <x v="1"/>
    <x v="265"/>
  </r>
  <r>
    <x v="7"/>
    <x v="0"/>
    <x v="1"/>
    <x v="0"/>
    <x v="266"/>
  </r>
  <r>
    <x v="7"/>
    <x v="0"/>
    <x v="1"/>
    <x v="1"/>
    <x v="265"/>
  </r>
  <r>
    <x v="7"/>
    <x v="0"/>
    <x v="2"/>
    <x v="0"/>
    <x v="267"/>
  </r>
  <r>
    <x v="7"/>
    <x v="0"/>
    <x v="2"/>
    <x v="1"/>
    <x v="268"/>
  </r>
  <r>
    <x v="7"/>
    <x v="0"/>
    <x v="3"/>
    <x v="0"/>
    <x v="269"/>
  </r>
  <r>
    <x v="7"/>
    <x v="0"/>
    <x v="3"/>
    <x v="1"/>
    <x v="243"/>
  </r>
  <r>
    <x v="7"/>
    <x v="0"/>
    <x v="4"/>
    <x v="0"/>
    <x v="270"/>
  </r>
  <r>
    <x v="7"/>
    <x v="0"/>
    <x v="4"/>
    <x v="1"/>
    <x v="261"/>
  </r>
  <r>
    <x v="7"/>
    <x v="0"/>
    <x v="5"/>
    <x v="0"/>
    <x v="271"/>
  </r>
  <r>
    <x v="7"/>
    <x v="0"/>
    <x v="5"/>
    <x v="1"/>
    <x v="163"/>
  </r>
  <r>
    <x v="7"/>
    <x v="0"/>
    <x v="6"/>
    <x v="0"/>
    <x v="272"/>
  </r>
  <r>
    <x v="7"/>
    <x v="0"/>
    <x v="6"/>
    <x v="1"/>
    <x v="273"/>
  </r>
  <r>
    <x v="7"/>
    <x v="1"/>
    <x v="0"/>
    <x v="0"/>
    <x v="274"/>
  </r>
  <r>
    <x v="7"/>
    <x v="1"/>
    <x v="0"/>
    <x v="1"/>
    <x v="275"/>
  </r>
  <r>
    <x v="7"/>
    <x v="1"/>
    <x v="1"/>
    <x v="0"/>
    <x v="276"/>
  </r>
  <r>
    <x v="7"/>
    <x v="1"/>
    <x v="1"/>
    <x v="1"/>
    <x v="277"/>
  </r>
  <r>
    <x v="7"/>
    <x v="1"/>
    <x v="2"/>
    <x v="0"/>
    <x v="278"/>
  </r>
  <r>
    <x v="7"/>
    <x v="1"/>
    <x v="2"/>
    <x v="1"/>
    <x v="279"/>
  </r>
  <r>
    <x v="7"/>
    <x v="1"/>
    <x v="3"/>
    <x v="0"/>
    <x v="280"/>
  </r>
  <r>
    <x v="7"/>
    <x v="1"/>
    <x v="3"/>
    <x v="1"/>
    <x v="243"/>
  </r>
  <r>
    <x v="7"/>
    <x v="1"/>
    <x v="4"/>
    <x v="0"/>
    <x v="281"/>
  </r>
  <r>
    <x v="7"/>
    <x v="1"/>
    <x v="4"/>
    <x v="1"/>
    <x v="153"/>
  </r>
  <r>
    <x v="7"/>
    <x v="1"/>
    <x v="5"/>
    <x v="0"/>
    <x v="271"/>
  </r>
  <r>
    <x v="7"/>
    <x v="1"/>
    <x v="5"/>
    <x v="1"/>
    <x v="188"/>
  </r>
  <r>
    <x v="7"/>
    <x v="1"/>
    <x v="6"/>
    <x v="0"/>
    <x v="282"/>
  </r>
  <r>
    <x v="7"/>
    <x v="1"/>
    <x v="6"/>
    <x v="1"/>
    <x v="283"/>
  </r>
  <r>
    <x v="7"/>
    <x v="2"/>
    <x v="0"/>
    <x v="0"/>
    <x v="284"/>
  </r>
  <r>
    <x v="7"/>
    <x v="2"/>
    <x v="0"/>
    <x v="1"/>
    <x v="158"/>
  </r>
  <r>
    <x v="7"/>
    <x v="2"/>
    <x v="1"/>
    <x v="0"/>
    <x v="285"/>
  </r>
  <r>
    <x v="7"/>
    <x v="2"/>
    <x v="1"/>
    <x v="1"/>
    <x v="275"/>
  </r>
  <r>
    <x v="7"/>
    <x v="2"/>
    <x v="2"/>
    <x v="0"/>
    <x v="286"/>
  </r>
  <r>
    <x v="7"/>
    <x v="2"/>
    <x v="2"/>
    <x v="1"/>
    <x v="287"/>
  </r>
  <r>
    <x v="7"/>
    <x v="2"/>
    <x v="3"/>
    <x v="0"/>
    <x v="288"/>
  </r>
  <r>
    <x v="7"/>
    <x v="2"/>
    <x v="3"/>
    <x v="1"/>
    <x v="243"/>
  </r>
  <r>
    <x v="7"/>
    <x v="2"/>
    <x v="4"/>
    <x v="0"/>
    <x v="289"/>
  </r>
  <r>
    <x v="7"/>
    <x v="2"/>
    <x v="4"/>
    <x v="1"/>
    <x v="153"/>
  </r>
  <r>
    <x v="7"/>
    <x v="2"/>
    <x v="5"/>
    <x v="0"/>
    <x v="290"/>
  </r>
  <r>
    <x v="7"/>
    <x v="2"/>
    <x v="5"/>
    <x v="1"/>
    <x v="151"/>
  </r>
  <r>
    <x v="7"/>
    <x v="2"/>
    <x v="6"/>
    <x v="0"/>
    <x v="291"/>
  </r>
  <r>
    <x v="7"/>
    <x v="2"/>
    <x v="6"/>
    <x v="1"/>
    <x v="292"/>
  </r>
  <r>
    <x v="7"/>
    <x v="3"/>
    <x v="0"/>
    <x v="0"/>
    <x v="293"/>
  </r>
  <r>
    <x v="7"/>
    <x v="3"/>
    <x v="0"/>
    <x v="1"/>
    <x v="294"/>
  </r>
  <r>
    <x v="7"/>
    <x v="3"/>
    <x v="1"/>
    <x v="0"/>
    <x v="295"/>
  </r>
  <r>
    <x v="7"/>
    <x v="3"/>
    <x v="1"/>
    <x v="1"/>
    <x v="296"/>
  </r>
  <r>
    <x v="7"/>
    <x v="3"/>
    <x v="2"/>
    <x v="0"/>
    <x v="297"/>
  </r>
  <r>
    <x v="7"/>
    <x v="3"/>
    <x v="2"/>
    <x v="1"/>
    <x v="298"/>
  </r>
  <r>
    <x v="7"/>
    <x v="3"/>
    <x v="3"/>
    <x v="0"/>
    <x v="299"/>
  </r>
  <r>
    <x v="7"/>
    <x v="3"/>
    <x v="3"/>
    <x v="1"/>
    <x v="225"/>
  </r>
  <r>
    <x v="7"/>
    <x v="3"/>
    <x v="4"/>
    <x v="0"/>
    <x v="300"/>
  </r>
  <r>
    <x v="7"/>
    <x v="3"/>
    <x v="4"/>
    <x v="1"/>
    <x v="261"/>
  </r>
  <r>
    <x v="7"/>
    <x v="3"/>
    <x v="5"/>
    <x v="0"/>
    <x v="301"/>
  </r>
  <r>
    <x v="7"/>
    <x v="3"/>
    <x v="5"/>
    <x v="1"/>
    <x v="151"/>
  </r>
  <r>
    <x v="7"/>
    <x v="3"/>
    <x v="6"/>
    <x v="0"/>
    <x v="302"/>
  </r>
  <r>
    <x v="7"/>
    <x v="3"/>
    <x v="6"/>
    <x v="1"/>
    <x v="292"/>
  </r>
  <r>
    <x v="8"/>
    <x v="0"/>
    <x v="0"/>
    <x v="0"/>
    <x v="303"/>
  </r>
  <r>
    <x v="8"/>
    <x v="0"/>
    <x v="0"/>
    <x v="1"/>
    <x v="304"/>
  </r>
  <r>
    <x v="8"/>
    <x v="0"/>
    <x v="1"/>
    <x v="0"/>
    <x v="305"/>
  </r>
  <r>
    <x v="8"/>
    <x v="0"/>
    <x v="1"/>
    <x v="1"/>
    <x v="306"/>
  </r>
  <r>
    <x v="8"/>
    <x v="0"/>
    <x v="2"/>
    <x v="0"/>
    <x v="307"/>
  </r>
  <r>
    <x v="8"/>
    <x v="0"/>
    <x v="2"/>
    <x v="1"/>
    <x v="308"/>
  </r>
  <r>
    <x v="8"/>
    <x v="0"/>
    <x v="3"/>
    <x v="0"/>
    <x v="309"/>
  </r>
  <r>
    <x v="8"/>
    <x v="0"/>
    <x v="3"/>
    <x v="1"/>
    <x v="225"/>
  </r>
  <r>
    <x v="8"/>
    <x v="0"/>
    <x v="4"/>
    <x v="0"/>
    <x v="310"/>
  </r>
  <r>
    <x v="8"/>
    <x v="0"/>
    <x v="4"/>
    <x v="1"/>
    <x v="261"/>
  </r>
  <r>
    <x v="8"/>
    <x v="0"/>
    <x v="5"/>
    <x v="0"/>
    <x v="311"/>
  </r>
  <r>
    <x v="8"/>
    <x v="0"/>
    <x v="5"/>
    <x v="1"/>
    <x v="151"/>
  </r>
  <r>
    <x v="8"/>
    <x v="0"/>
    <x v="6"/>
    <x v="0"/>
    <x v="312"/>
  </r>
  <r>
    <x v="8"/>
    <x v="0"/>
    <x v="6"/>
    <x v="1"/>
    <x v="283"/>
  </r>
  <r>
    <x v="8"/>
    <x v="1"/>
    <x v="0"/>
    <x v="0"/>
    <x v="313"/>
  </r>
  <r>
    <x v="8"/>
    <x v="1"/>
    <x v="0"/>
    <x v="1"/>
    <x v="314"/>
  </r>
  <r>
    <x v="8"/>
    <x v="1"/>
    <x v="1"/>
    <x v="0"/>
    <x v="315"/>
  </r>
  <r>
    <x v="8"/>
    <x v="1"/>
    <x v="1"/>
    <x v="1"/>
    <x v="306"/>
  </r>
  <r>
    <x v="8"/>
    <x v="1"/>
    <x v="2"/>
    <x v="0"/>
    <x v="316"/>
  </r>
  <r>
    <x v="8"/>
    <x v="1"/>
    <x v="2"/>
    <x v="1"/>
    <x v="317"/>
  </r>
  <r>
    <x v="8"/>
    <x v="1"/>
    <x v="3"/>
    <x v="0"/>
    <x v="318"/>
  </r>
  <r>
    <x v="8"/>
    <x v="1"/>
    <x v="3"/>
    <x v="1"/>
    <x v="225"/>
  </r>
  <r>
    <x v="8"/>
    <x v="1"/>
    <x v="4"/>
    <x v="0"/>
    <x v="319"/>
  </r>
  <r>
    <x v="8"/>
    <x v="1"/>
    <x v="4"/>
    <x v="1"/>
    <x v="261"/>
  </r>
  <r>
    <x v="8"/>
    <x v="1"/>
    <x v="5"/>
    <x v="0"/>
    <x v="261"/>
  </r>
  <r>
    <x v="8"/>
    <x v="1"/>
    <x v="5"/>
    <x v="1"/>
    <x v="118"/>
  </r>
  <r>
    <x v="8"/>
    <x v="1"/>
    <x v="6"/>
    <x v="0"/>
    <x v="320"/>
  </r>
  <r>
    <x v="8"/>
    <x v="1"/>
    <x v="6"/>
    <x v="1"/>
    <x v="321"/>
  </r>
  <r>
    <x v="8"/>
    <x v="2"/>
    <x v="0"/>
    <x v="0"/>
    <x v="322"/>
  </r>
  <r>
    <x v="8"/>
    <x v="2"/>
    <x v="0"/>
    <x v="1"/>
    <x v="314"/>
  </r>
  <r>
    <x v="8"/>
    <x v="2"/>
    <x v="1"/>
    <x v="0"/>
    <x v="323"/>
  </r>
  <r>
    <x v="8"/>
    <x v="2"/>
    <x v="1"/>
    <x v="1"/>
    <x v="306"/>
  </r>
  <r>
    <x v="8"/>
    <x v="2"/>
    <x v="2"/>
    <x v="0"/>
    <x v="324"/>
  </r>
  <r>
    <x v="8"/>
    <x v="2"/>
    <x v="2"/>
    <x v="1"/>
    <x v="308"/>
  </r>
  <r>
    <x v="8"/>
    <x v="2"/>
    <x v="3"/>
    <x v="0"/>
    <x v="325"/>
  </r>
  <r>
    <x v="8"/>
    <x v="2"/>
    <x v="3"/>
    <x v="1"/>
    <x v="225"/>
  </r>
  <r>
    <x v="8"/>
    <x v="2"/>
    <x v="4"/>
    <x v="0"/>
    <x v="326"/>
  </r>
  <r>
    <x v="8"/>
    <x v="2"/>
    <x v="4"/>
    <x v="1"/>
    <x v="261"/>
  </r>
  <r>
    <x v="8"/>
    <x v="2"/>
    <x v="5"/>
    <x v="0"/>
    <x v="261"/>
  </r>
  <r>
    <x v="8"/>
    <x v="2"/>
    <x v="5"/>
    <x v="1"/>
    <x v="118"/>
  </r>
  <r>
    <x v="8"/>
    <x v="2"/>
    <x v="6"/>
    <x v="0"/>
    <x v="327"/>
  </r>
  <r>
    <x v="8"/>
    <x v="2"/>
    <x v="6"/>
    <x v="1"/>
    <x v="328"/>
  </r>
  <r>
    <x v="8"/>
    <x v="3"/>
    <x v="0"/>
    <x v="0"/>
    <x v="329"/>
  </r>
  <r>
    <x v="8"/>
    <x v="3"/>
    <x v="0"/>
    <x v="1"/>
    <x v="330"/>
  </r>
  <r>
    <x v="8"/>
    <x v="3"/>
    <x v="1"/>
    <x v="0"/>
    <x v="331"/>
  </r>
  <r>
    <x v="8"/>
    <x v="3"/>
    <x v="1"/>
    <x v="1"/>
    <x v="332"/>
  </r>
  <r>
    <x v="8"/>
    <x v="3"/>
    <x v="2"/>
    <x v="0"/>
    <x v="333"/>
  </r>
  <r>
    <x v="8"/>
    <x v="3"/>
    <x v="2"/>
    <x v="1"/>
    <x v="334"/>
  </r>
  <r>
    <x v="8"/>
    <x v="3"/>
    <x v="3"/>
    <x v="0"/>
    <x v="335"/>
  </r>
  <r>
    <x v="8"/>
    <x v="3"/>
    <x v="3"/>
    <x v="1"/>
    <x v="216"/>
  </r>
  <r>
    <x v="8"/>
    <x v="3"/>
    <x v="4"/>
    <x v="0"/>
    <x v="336"/>
  </r>
  <r>
    <x v="8"/>
    <x v="3"/>
    <x v="4"/>
    <x v="1"/>
    <x v="311"/>
  </r>
  <r>
    <x v="8"/>
    <x v="3"/>
    <x v="5"/>
    <x v="0"/>
    <x v="153"/>
  </r>
  <r>
    <x v="8"/>
    <x v="3"/>
    <x v="5"/>
    <x v="1"/>
    <x v="118"/>
  </r>
  <r>
    <x v="8"/>
    <x v="3"/>
    <x v="6"/>
    <x v="0"/>
    <x v="337"/>
  </r>
  <r>
    <x v="8"/>
    <x v="3"/>
    <x v="6"/>
    <x v="1"/>
    <x v="338"/>
  </r>
  <r>
    <x v="9"/>
    <x v="0"/>
    <x v="0"/>
    <x v="0"/>
    <x v="339"/>
  </r>
  <r>
    <x v="9"/>
    <x v="0"/>
    <x v="0"/>
    <x v="1"/>
    <x v="296"/>
  </r>
  <r>
    <x v="9"/>
    <x v="0"/>
    <x v="1"/>
    <x v="0"/>
    <x v="340"/>
  </r>
  <r>
    <x v="9"/>
    <x v="0"/>
    <x v="1"/>
    <x v="1"/>
    <x v="341"/>
  </r>
  <r>
    <x v="9"/>
    <x v="0"/>
    <x v="2"/>
    <x v="0"/>
    <x v="342"/>
  </r>
  <r>
    <x v="9"/>
    <x v="0"/>
    <x v="2"/>
    <x v="1"/>
    <x v="343"/>
  </r>
  <r>
    <x v="9"/>
    <x v="0"/>
    <x v="3"/>
    <x v="0"/>
    <x v="344"/>
  </r>
  <r>
    <x v="9"/>
    <x v="0"/>
    <x v="3"/>
    <x v="1"/>
    <x v="216"/>
  </r>
  <r>
    <x v="9"/>
    <x v="0"/>
    <x v="4"/>
    <x v="0"/>
    <x v="345"/>
  </r>
  <r>
    <x v="9"/>
    <x v="0"/>
    <x v="4"/>
    <x v="1"/>
    <x v="261"/>
  </r>
  <r>
    <x v="9"/>
    <x v="0"/>
    <x v="5"/>
    <x v="0"/>
    <x v="82"/>
  </r>
  <r>
    <x v="9"/>
    <x v="0"/>
    <x v="5"/>
    <x v="1"/>
    <x v="80"/>
  </r>
  <r>
    <x v="9"/>
    <x v="0"/>
    <x v="6"/>
    <x v="0"/>
    <x v="346"/>
  </r>
  <r>
    <x v="9"/>
    <x v="0"/>
    <x v="6"/>
    <x v="1"/>
    <x v="338"/>
  </r>
  <r>
    <x v="9"/>
    <x v="1"/>
    <x v="0"/>
    <x v="0"/>
    <x v="322"/>
  </r>
  <r>
    <x v="9"/>
    <x v="1"/>
    <x v="0"/>
    <x v="1"/>
    <x v="294"/>
  </r>
  <r>
    <x v="9"/>
    <x v="1"/>
    <x v="1"/>
    <x v="0"/>
    <x v="347"/>
  </r>
  <r>
    <x v="9"/>
    <x v="1"/>
    <x v="1"/>
    <x v="1"/>
    <x v="306"/>
  </r>
  <r>
    <x v="9"/>
    <x v="1"/>
    <x v="2"/>
    <x v="0"/>
    <x v="348"/>
  </r>
  <r>
    <x v="9"/>
    <x v="1"/>
    <x v="2"/>
    <x v="1"/>
    <x v="308"/>
  </r>
  <r>
    <x v="9"/>
    <x v="1"/>
    <x v="3"/>
    <x v="0"/>
    <x v="349"/>
  </r>
  <r>
    <x v="9"/>
    <x v="1"/>
    <x v="3"/>
    <x v="1"/>
    <x v="216"/>
  </r>
  <r>
    <x v="9"/>
    <x v="1"/>
    <x v="4"/>
    <x v="0"/>
    <x v="350"/>
  </r>
  <r>
    <x v="9"/>
    <x v="1"/>
    <x v="4"/>
    <x v="1"/>
    <x v="153"/>
  </r>
  <r>
    <x v="9"/>
    <x v="1"/>
    <x v="5"/>
    <x v="0"/>
    <x v="54"/>
  </r>
  <r>
    <x v="9"/>
    <x v="1"/>
    <x v="5"/>
    <x v="1"/>
    <x v="80"/>
  </r>
  <r>
    <x v="9"/>
    <x v="1"/>
    <x v="6"/>
    <x v="0"/>
    <x v="351"/>
  </r>
  <r>
    <x v="9"/>
    <x v="1"/>
    <x v="6"/>
    <x v="1"/>
    <x v="352"/>
  </r>
  <r>
    <x v="9"/>
    <x v="2"/>
    <x v="0"/>
    <x v="0"/>
    <x v="353"/>
  </r>
  <r>
    <x v="9"/>
    <x v="2"/>
    <x v="0"/>
    <x v="1"/>
    <x v="275"/>
  </r>
  <r>
    <x v="9"/>
    <x v="2"/>
    <x v="1"/>
    <x v="0"/>
    <x v="354"/>
  </r>
  <r>
    <x v="9"/>
    <x v="2"/>
    <x v="1"/>
    <x v="1"/>
    <x v="304"/>
  </r>
  <r>
    <x v="9"/>
    <x v="2"/>
    <x v="2"/>
    <x v="0"/>
    <x v="355"/>
  </r>
  <r>
    <x v="9"/>
    <x v="2"/>
    <x v="2"/>
    <x v="1"/>
    <x v="356"/>
  </r>
  <r>
    <x v="9"/>
    <x v="2"/>
    <x v="3"/>
    <x v="0"/>
    <x v="357"/>
  </r>
  <r>
    <x v="9"/>
    <x v="2"/>
    <x v="3"/>
    <x v="1"/>
    <x v="225"/>
  </r>
  <r>
    <x v="9"/>
    <x v="2"/>
    <x v="4"/>
    <x v="0"/>
    <x v="358"/>
  </r>
  <r>
    <x v="9"/>
    <x v="2"/>
    <x v="4"/>
    <x v="1"/>
    <x v="82"/>
  </r>
  <r>
    <x v="9"/>
    <x v="2"/>
    <x v="5"/>
    <x v="0"/>
    <x v="43"/>
  </r>
  <r>
    <x v="9"/>
    <x v="2"/>
    <x v="5"/>
    <x v="1"/>
    <x v="80"/>
  </r>
  <r>
    <x v="9"/>
    <x v="2"/>
    <x v="6"/>
    <x v="0"/>
    <x v="359"/>
  </r>
  <r>
    <x v="9"/>
    <x v="2"/>
    <x v="6"/>
    <x v="1"/>
    <x v="360"/>
  </r>
  <r>
    <x v="9"/>
    <x v="3"/>
    <x v="0"/>
    <x v="0"/>
    <x v="361"/>
  </r>
  <r>
    <x v="9"/>
    <x v="3"/>
    <x v="0"/>
    <x v="1"/>
    <x v="294"/>
  </r>
  <r>
    <x v="9"/>
    <x v="3"/>
    <x v="1"/>
    <x v="0"/>
    <x v="362"/>
  </r>
  <r>
    <x v="9"/>
    <x v="3"/>
    <x v="1"/>
    <x v="1"/>
    <x v="363"/>
  </r>
  <r>
    <x v="9"/>
    <x v="3"/>
    <x v="2"/>
    <x v="0"/>
    <x v="364"/>
  </r>
  <r>
    <x v="9"/>
    <x v="3"/>
    <x v="2"/>
    <x v="1"/>
    <x v="317"/>
  </r>
  <r>
    <x v="9"/>
    <x v="3"/>
    <x v="3"/>
    <x v="0"/>
    <x v="365"/>
  </r>
  <r>
    <x v="9"/>
    <x v="3"/>
    <x v="3"/>
    <x v="1"/>
    <x v="216"/>
  </r>
  <r>
    <x v="9"/>
    <x v="3"/>
    <x v="4"/>
    <x v="0"/>
    <x v="366"/>
  </r>
  <r>
    <x v="9"/>
    <x v="3"/>
    <x v="4"/>
    <x v="1"/>
    <x v="153"/>
  </r>
  <r>
    <x v="9"/>
    <x v="3"/>
    <x v="5"/>
    <x v="0"/>
    <x v="9"/>
  </r>
  <r>
    <x v="9"/>
    <x v="3"/>
    <x v="5"/>
    <x v="1"/>
    <x v="7"/>
  </r>
  <r>
    <x v="9"/>
    <x v="3"/>
    <x v="6"/>
    <x v="0"/>
    <x v="367"/>
  </r>
  <r>
    <x v="9"/>
    <x v="3"/>
    <x v="6"/>
    <x v="1"/>
    <x v="36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69AE8F8-C2A4-45E4-BB97-7344E59CF66F}" name="PivotTable4" cacheId="1" applyNumberFormats="0" applyBorderFormats="0" applyFontFormats="0" applyPatternFormats="0" applyAlignmentFormats="0" applyWidthHeightFormats="1" dataCaption="Data" updatedVersion="8" showMemberPropertyTips="0" useAutoFormatting="1" itemPrintTitles="1" createdVersion="1" indent="0" compact="0" compactData="0" gridDropZones="1">
  <location ref="B5:K57" firstHeaderRow="1" firstDataRow="2" firstDataCol="2" rowPageCount="1" colPageCount="1"/>
  <pivotFields count="5">
    <pivotField axis="axisRow" compact="0" outline="0" showAll="0" includeNewItemsInFilter="1">
      <items count="11">
        <item x="0"/>
        <item x="1"/>
        <item x="2"/>
        <item x="3"/>
        <item x="4"/>
        <item x="5"/>
        <item x="6"/>
        <item x="7"/>
        <item x="8"/>
        <item x="9"/>
        <item t="default"/>
      </items>
    </pivotField>
    <pivotField axis="axisRow" compact="0" outline="0" showAll="0" includeNewItemsInFilter="1">
      <items count="5">
        <item x="0"/>
        <item x="1"/>
        <item x="2"/>
        <item x="3"/>
        <item t="default"/>
      </items>
    </pivotField>
    <pivotField axis="axisCol" compact="0" outline="0" showAll="0" includeNewItemsInFilter="1">
      <items count="8">
        <item x="6"/>
        <item x="3"/>
        <item x="4"/>
        <item x="5"/>
        <item x="2"/>
        <item x="0"/>
        <item x="1"/>
        <item t="default"/>
      </items>
    </pivotField>
    <pivotField axis="axisPage" compact="0" outline="0" showAll="0" includeNewItemsInFilter="1">
      <items count="3">
        <item x="0"/>
        <item x="1"/>
        <item t="default"/>
      </items>
    </pivotField>
    <pivotField dataField="1" compact="0" numFmtId="2" outline="0" showAll="0" includeNewItemsInFilter="1">
      <items count="369">
        <item x="7"/>
        <item x="80"/>
        <item x="118"/>
        <item x="151"/>
        <item x="188"/>
        <item x="163"/>
        <item x="243"/>
        <item x="225"/>
        <item x="216"/>
        <item x="200"/>
        <item x="191"/>
        <item x="182"/>
        <item x="166"/>
        <item x="155"/>
        <item x="143"/>
        <item x="121"/>
        <item x="101"/>
        <item x="71"/>
        <item x="45"/>
        <item x="23"/>
        <item x="11"/>
        <item x="33"/>
        <item x="9"/>
        <item x="43"/>
        <item x="54"/>
        <item x="82"/>
        <item x="153"/>
        <item x="261"/>
        <item x="311"/>
        <item x="301"/>
        <item x="290"/>
        <item x="271"/>
        <item x="251"/>
        <item x="262"/>
        <item x="242"/>
        <item x="234"/>
        <item x="224"/>
        <item x="215"/>
        <item x="207"/>
        <item x="199"/>
        <item x="190"/>
        <item x="181"/>
        <item x="174"/>
        <item x="165"/>
        <item x="154"/>
        <item x="142"/>
        <item x="120"/>
        <item x="110"/>
        <item x="83"/>
        <item x="70"/>
        <item x="44"/>
        <item x="10"/>
        <item x="22"/>
        <item x="360"/>
        <item x="352"/>
        <item x="338"/>
        <item x="328"/>
        <item x="321"/>
        <item x="292"/>
        <item x="283"/>
        <item x="273"/>
        <item x="253"/>
        <item x="245"/>
        <item x="227"/>
        <item x="209"/>
        <item x="193"/>
        <item x="168"/>
        <item x="13"/>
        <item x="56"/>
        <item x="28"/>
        <item x="17"/>
        <item x="3"/>
        <item x="38"/>
        <item x="50"/>
        <item x="106"/>
        <item x="76"/>
        <item x="97"/>
        <item x="88"/>
        <item x="114"/>
        <item x="125"/>
        <item x="26"/>
        <item x="212"/>
        <item x="147"/>
        <item x="15"/>
        <item x="1"/>
        <item x="104"/>
        <item x="36"/>
        <item x="58"/>
        <item x="48"/>
        <item x="95"/>
        <item x="74"/>
        <item x="86"/>
        <item x="158"/>
        <item x="275"/>
        <item x="277"/>
        <item x="255"/>
        <item x="265"/>
        <item x="294"/>
        <item x="314"/>
        <item x="304"/>
        <item x="296"/>
        <item x="330"/>
        <item x="306"/>
        <item x="363"/>
        <item x="341"/>
        <item x="332"/>
        <item x="30"/>
        <item x="19"/>
        <item x="5"/>
        <item x="67"/>
        <item x="40"/>
        <item x="52"/>
        <item x="139"/>
        <item x="78"/>
        <item x="90"/>
        <item x="116"/>
        <item x="126"/>
        <item x="149"/>
        <item x="187"/>
        <item x="161"/>
        <item x="221"/>
        <item x="231"/>
        <item x="239"/>
        <item x="287"/>
        <item x="279"/>
        <item x="258"/>
        <item x="268"/>
        <item x="356"/>
        <item x="298"/>
        <item x="308"/>
        <item x="317"/>
        <item x="343"/>
        <item x="334"/>
        <item x="6"/>
        <item x="20"/>
        <item x="31"/>
        <item x="53"/>
        <item x="41"/>
        <item x="61"/>
        <item x="68"/>
        <item x="91"/>
        <item x="79"/>
        <item x="99"/>
        <item x="108"/>
        <item x="127"/>
        <item x="117"/>
        <item x="133"/>
        <item x="140"/>
        <item x="8"/>
        <item x="150"/>
        <item x="32"/>
        <item x="21"/>
        <item x="172"/>
        <item x="42"/>
        <item x="162"/>
        <item x="179"/>
        <item x="69"/>
        <item x="62"/>
        <item x="197"/>
        <item x="92"/>
        <item x="81"/>
        <item x="205"/>
        <item x="213"/>
        <item x="109"/>
        <item x="100"/>
        <item x="232"/>
        <item x="222"/>
        <item x="128"/>
        <item x="119"/>
        <item x="240"/>
        <item x="141"/>
        <item x="249"/>
        <item x="134"/>
        <item x="164"/>
        <item x="152"/>
        <item x="269"/>
        <item x="259"/>
        <item x="180"/>
        <item x="173"/>
        <item x="280"/>
        <item x="288"/>
        <item x="198"/>
        <item x="189"/>
        <item x="309"/>
        <item x="299"/>
        <item x="214"/>
        <item x="206"/>
        <item x="233"/>
        <item x="318"/>
        <item x="223"/>
        <item x="325"/>
        <item x="250"/>
        <item x="344"/>
        <item x="241"/>
        <item x="335"/>
        <item x="270"/>
        <item x="260"/>
        <item x="289"/>
        <item x="358"/>
        <item x="345"/>
        <item x="281"/>
        <item x="349"/>
        <item x="310"/>
        <item x="357"/>
        <item x="300"/>
        <item x="350"/>
        <item x="366"/>
        <item x="326"/>
        <item x="319"/>
        <item x="365"/>
        <item x="336"/>
        <item x="0"/>
        <item x="25"/>
        <item x="14"/>
        <item x="47"/>
        <item x="35"/>
        <item x="64"/>
        <item x="85"/>
        <item x="57"/>
        <item x="103"/>
        <item x="73"/>
        <item x="123"/>
        <item x="94"/>
        <item x="112"/>
        <item x="136"/>
        <item x="130"/>
        <item x="157"/>
        <item x="176"/>
        <item x="145"/>
        <item x="194"/>
        <item x="169"/>
        <item x="184"/>
        <item x="210"/>
        <item x="202"/>
        <item x="228"/>
        <item x="218"/>
        <item x="246"/>
        <item x="236"/>
        <item x="264"/>
        <item x="254"/>
        <item x="353"/>
        <item x="284"/>
        <item x="303"/>
        <item x="274"/>
        <item x="339"/>
        <item x="293"/>
        <item x="361"/>
        <item x="322"/>
        <item x="329"/>
        <item x="313"/>
        <item x="2"/>
        <item x="16"/>
        <item x="27"/>
        <item x="12"/>
        <item x="24"/>
        <item x="37"/>
        <item x="49"/>
        <item x="34"/>
        <item x="46"/>
        <item x="59"/>
        <item x="65"/>
        <item x="55"/>
        <item x="63"/>
        <item x="75"/>
        <item x="87"/>
        <item x="72"/>
        <item x="84"/>
        <item x="96"/>
        <item x="105"/>
        <item x="93"/>
        <item x="113"/>
        <item x="124"/>
        <item x="102"/>
        <item x="111"/>
        <item x="131"/>
        <item x="137"/>
        <item x="122"/>
        <item x="129"/>
        <item x="146"/>
        <item x="159"/>
        <item x="135"/>
        <item x="337"/>
        <item x="144"/>
        <item x="170"/>
        <item x="177"/>
        <item x="346"/>
        <item x="156"/>
        <item x="351"/>
        <item x="359"/>
        <item x="167"/>
        <item x="185"/>
        <item x="195"/>
        <item x="367"/>
        <item x="175"/>
        <item x="183"/>
        <item x="203"/>
        <item x="211"/>
        <item x="192"/>
        <item x="327"/>
        <item x="229"/>
        <item x="219"/>
        <item x="201"/>
        <item x="320"/>
        <item x="208"/>
        <item x="291"/>
        <item x="282"/>
        <item x="217"/>
        <item x="302"/>
        <item x="226"/>
        <item x="235"/>
        <item x="237"/>
        <item x="272"/>
        <item x="247"/>
        <item x="252"/>
        <item x="244"/>
        <item x="263"/>
        <item x="312"/>
        <item x="266"/>
        <item x="256"/>
        <item x="285"/>
        <item x="276"/>
        <item x="305"/>
        <item x="295"/>
        <item x="315"/>
        <item x="340"/>
        <item x="323"/>
        <item x="331"/>
        <item x="354"/>
        <item x="347"/>
        <item x="362"/>
        <item x="4"/>
        <item x="18"/>
        <item x="29"/>
        <item x="39"/>
        <item x="51"/>
        <item x="66"/>
        <item x="60"/>
        <item x="89"/>
        <item x="77"/>
        <item x="107"/>
        <item x="98"/>
        <item x="115"/>
        <item x="138"/>
        <item x="132"/>
        <item x="148"/>
        <item x="160"/>
        <item x="178"/>
        <item x="171"/>
        <item x="196"/>
        <item x="186"/>
        <item x="204"/>
        <item x="230"/>
        <item x="220"/>
        <item x="248"/>
        <item x="238"/>
        <item x="267"/>
        <item x="257"/>
        <item x="286"/>
        <item x="278"/>
        <item x="307"/>
        <item x="297"/>
        <item x="342"/>
        <item x="324"/>
        <item x="316"/>
        <item x="355"/>
        <item x="333"/>
        <item x="348"/>
        <item x="364"/>
        <item t="default"/>
      </items>
    </pivotField>
  </pivotFields>
  <rowFields count="2">
    <field x="0"/>
    <field x="1"/>
  </rowFields>
  <rowItems count="51">
    <i>
      <x/>
      <x/>
    </i>
    <i r="1">
      <x v="1"/>
    </i>
    <i r="1">
      <x v="2"/>
    </i>
    <i r="1">
      <x v="3"/>
    </i>
    <i t="default">
      <x/>
    </i>
    <i>
      <x v="1"/>
      <x/>
    </i>
    <i r="1">
      <x v="1"/>
    </i>
    <i r="1">
      <x v="2"/>
    </i>
    <i r="1">
      <x v="3"/>
    </i>
    <i t="default">
      <x v="1"/>
    </i>
    <i>
      <x v="2"/>
      <x/>
    </i>
    <i r="1">
      <x v="1"/>
    </i>
    <i r="1">
      <x v="2"/>
    </i>
    <i r="1">
      <x v="3"/>
    </i>
    <i t="default">
      <x v="2"/>
    </i>
    <i>
      <x v="3"/>
      <x/>
    </i>
    <i r="1">
      <x v="1"/>
    </i>
    <i r="1">
      <x v="2"/>
    </i>
    <i r="1">
      <x v="3"/>
    </i>
    <i t="default">
      <x v="3"/>
    </i>
    <i>
      <x v="4"/>
      <x/>
    </i>
    <i r="1">
      <x v="1"/>
    </i>
    <i r="1">
      <x v="2"/>
    </i>
    <i r="1">
      <x v="3"/>
    </i>
    <i t="default">
      <x v="4"/>
    </i>
    <i>
      <x v="5"/>
      <x/>
    </i>
    <i r="1">
      <x v="1"/>
    </i>
    <i r="1">
      <x v="2"/>
    </i>
    <i r="1">
      <x v="3"/>
    </i>
    <i t="default">
      <x v="5"/>
    </i>
    <i>
      <x v="6"/>
      <x/>
    </i>
    <i r="1">
      <x v="1"/>
    </i>
    <i r="1">
      <x v="2"/>
    </i>
    <i r="1">
      <x v="3"/>
    </i>
    <i t="default">
      <x v="6"/>
    </i>
    <i>
      <x v="7"/>
      <x/>
    </i>
    <i r="1">
      <x v="1"/>
    </i>
    <i r="1">
      <x v="2"/>
    </i>
    <i r="1">
      <x v="3"/>
    </i>
    <i t="default">
      <x v="7"/>
    </i>
    <i>
      <x v="8"/>
      <x/>
    </i>
    <i r="1">
      <x v="1"/>
    </i>
    <i r="1">
      <x v="2"/>
    </i>
    <i r="1">
      <x v="3"/>
    </i>
    <i t="default">
      <x v="8"/>
    </i>
    <i>
      <x v="9"/>
      <x/>
    </i>
    <i r="1">
      <x v="1"/>
    </i>
    <i r="1">
      <x v="2"/>
    </i>
    <i r="1">
      <x v="3"/>
    </i>
    <i t="default">
      <x v="9"/>
    </i>
    <i t="grand">
      <x/>
    </i>
  </rowItems>
  <colFields count="1">
    <field x="2"/>
  </colFields>
  <colItems count="8">
    <i>
      <x/>
    </i>
    <i>
      <x v="1"/>
    </i>
    <i>
      <x v="2"/>
    </i>
    <i>
      <x v="3"/>
    </i>
    <i>
      <x v="4"/>
    </i>
    <i>
      <x v="5"/>
    </i>
    <i>
      <x v="6"/>
    </i>
    <i t="grand">
      <x/>
    </i>
  </colItems>
  <pageFields count="1">
    <pageField fld="3" item="0" hier="0"/>
  </pageFields>
  <dataFields count="1">
    <dataField name="Selected Metric Value" fld="4" baseField="1" baseItem="0" numFmtId="2"/>
  </dataFields>
  <formats count="8">
    <format dxfId="36">
      <pivotArea type="origin" dataOnly="0" labelOnly="1" outline="0" fieldPosition="0"/>
    </format>
    <format dxfId="35">
      <pivotArea field="0" type="button" dataOnly="0" labelOnly="1" outline="0" axis="axisRow" fieldPosition="0"/>
    </format>
    <format dxfId="34">
      <pivotArea field="1" type="button" dataOnly="0" labelOnly="1" outline="0" axis="axisRow" fieldPosition="1"/>
    </format>
    <format dxfId="33">
      <pivotArea dataOnly="0" labelOnly="1" outline="0" fieldPosition="0">
        <references count="1">
          <reference field="2" count="0"/>
        </references>
      </pivotArea>
    </format>
    <format dxfId="32">
      <pivotArea dataOnly="0" labelOnly="1" grandCol="1" outline="0" fieldPosition="0"/>
    </format>
    <format dxfId="31">
      <pivotArea type="origin" dataOnly="0" labelOnly="1" outline="0" fieldPosition="0"/>
    </format>
    <format dxfId="30">
      <pivotArea field="3" type="button" dataOnly="0" labelOnly="1" outline="0" axis="axisPage" fieldPosition="0"/>
    </format>
    <format dxfId="29">
      <pivotArea field="2" type="button" dataOnly="0" labelOnly="1" outline="0" axis="axisCol" fieldPosition="0"/>
    </format>
  </formats>
  <chartFormats count="14">
    <chartFormat chart="0" format="7" series="1">
      <pivotArea type="data" outline="0" fieldPosition="0">
        <references count="2">
          <reference field="4294967294" count="1" selected="0">
            <x v="0"/>
          </reference>
          <reference field="2" count="1" selected="0">
            <x v="0"/>
          </reference>
        </references>
      </pivotArea>
    </chartFormat>
    <chartFormat chart="0" format="8" series="1">
      <pivotArea type="data" outline="0" fieldPosition="0">
        <references count="2">
          <reference field="4294967294" count="1" selected="0">
            <x v="0"/>
          </reference>
          <reference field="2" count="1" selected="0">
            <x v="1"/>
          </reference>
        </references>
      </pivotArea>
    </chartFormat>
    <chartFormat chart="0" format="9" series="1">
      <pivotArea type="data" outline="0" fieldPosition="0">
        <references count="2">
          <reference field="4294967294" count="1" selected="0">
            <x v="0"/>
          </reference>
          <reference field="2" count="1" selected="0">
            <x v="2"/>
          </reference>
        </references>
      </pivotArea>
    </chartFormat>
    <chartFormat chart="0" format="10" series="1">
      <pivotArea type="data" outline="0" fieldPosition="0">
        <references count="2">
          <reference field="4294967294" count="1" selected="0">
            <x v="0"/>
          </reference>
          <reference field="2" count="1" selected="0">
            <x v="3"/>
          </reference>
        </references>
      </pivotArea>
    </chartFormat>
    <chartFormat chart="0" format="11" series="1">
      <pivotArea type="data" outline="0" fieldPosition="0">
        <references count="2">
          <reference field="4294967294" count="1" selected="0">
            <x v="0"/>
          </reference>
          <reference field="2" count="1" selected="0">
            <x v="4"/>
          </reference>
        </references>
      </pivotArea>
    </chartFormat>
    <chartFormat chart="0" format="12" series="1">
      <pivotArea type="data" outline="0" fieldPosition="0">
        <references count="2">
          <reference field="4294967294" count="1" selected="0">
            <x v="0"/>
          </reference>
          <reference field="2" count="1" selected="0">
            <x v="5"/>
          </reference>
        </references>
      </pivotArea>
    </chartFormat>
    <chartFormat chart="0" format="13" series="1">
      <pivotArea type="data" outline="0" fieldPosition="0">
        <references count="2">
          <reference field="4294967294" count="1" selected="0">
            <x v="0"/>
          </reference>
          <reference field="2" count="1" selected="0">
            <x v="6"/>
          </reference>
        </references>
      </pivotArea>
    </chartFormat>
    <chartFormat chart="1" format="7" series="1">
      <pivotArea type="data" outline="0" fieldPosition="0">
        <references count="2">
          <reference field="4294967294" count="1" selected="0">
            <x v="0"/>
          </reference>
          <reference field="2" count="1" selected="0">
            <x v="0"/>
          </reference>
        </references>
      </pivotArea>
    </chartFormat>
    <chartFormat chart="1" format="8" series="1">
      <pivotArea type="data" outline="0" fieldPosition="0">
        <references count="2">
          <reference field="4294967294" count="1" selected="0">
            <x v="0"/>
          </reference>
          <reference field="2" count="1" selected="0">
            <x v="1"/>
          </reference>
        </references>
      </pivotArea>
    </chartFormat>
    <chartFormat chart="1" format="9" series="1">
      <pivotArea type="data" outline="0" fieldPosition="0">
        <references count="2">
          <reference field="4294967294" count="1" selected="0">
            <x v="0"/>
          </reference>
          <reference field="2" count="1" selected="0">
            <x v="2"/>
          </reference>
        </references>
      </pivotArea>
    </chartFormat>
    <chartFormat chart="1" format="10" series="1">
      <pivotArea type="data" outline="0" fieldPosition="0">
        <references count="2">
          <reference field="4294967294" count="1" selected="0">
            <x v="0"/>
          </reference>
          <reference field="2" count="1" selected="0">
            <x v="3"/>
          </reference>
        </references>
      </pivotArea>
    </chartFormat>
    <chartFormat chart="1" format="11" series="1">
      <pivotArea type="data" outline="0" fieldPosition="0">
        <references count="2">
          <reference field="4294967294" count="1" selected="0">
            <x v="0"/>
          </reference>
          <reference field="2" count="1" selected="0">
            <x v="4"/>
          </reference>
        </references>
      </pivotArea>
    </chartFormat>
    <chartFormat chart="1" format="12" series="1">
      <pivotArea type="data" outline="0" fieldPosition="0">
        <references count="2">
          <reference field="4294967294" count="1" selected="0">
            <x v="0"/>
          </reference>
          <reference field="2" count="1" selected="0">
            <x v="5"/>
          </reference>
        </references>
      </pivotArea>
    </chartFormat>
    <chartFormat chart="1" format="13" series="1">
      <pivotArea type="data" outline="0" fieldPosition="0">
        <references count="2">
          <reference field="4294967294" count="1" selected="0">
            <x v="0"/>
          </reference>
          <reference field="2" count="1" selected="0">
            <x v="6"/>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588D15-4A74-48D9-BF38-E06F534BBD58}" name="QuarterlyLoanData" displayName="QuarterlyLoanData" ref="B5:Y45" totalsRowShown="0" headerRowBorderDxfId="70" tableBorderDxfId="69">
  <tableColumns count="24">
    <tableColumn id="1" xr3:uid="{00000000-0010-0000-0100-000001000000}" name=" Fiscal Year" dataDxfId="68"/>
    <tableColumn id="2" xr3:uid="{00000000-0010-0000-0100-000002000000}" name="Quarter" dataDxfId="67"/>
    <tableColumn id="3" xr3:uid="{00000000-0010-0000-0100-000003000000}" name="Stafford Subsidized - Recipients" dataDxfId="66"/>
    <tableColumn id="4" xr3:uid="{00000000-0010-0000-0100-000004000000}" name="MovingAverage-SS" dataDxfId="65">
      <calculatedColumnFormula>AVERAGE(OFFSET(D6,,,4*-1))</calculatedColumnFormula>
    </tableColumn>
    <tableColumn id="18" xr3:uid="{00000000-0010-0000-0100-000012000000}" name="YOY - Growth - SS" dataDxfId="64">
      <calculatedColumnFormula>(D6-D2)/D2</calculatedColumnFormula>
    </tableColumn>
    <tableColumn id="5" xr3:uid="{00000000-0010-0000-0100-000005000000}" name="Stafford Unsubsidized - Recipients" dataDxfId="63" dataCellStyle="Currency"/>
    <tableColumn id="6" xr3:uid="{00000000-0010-0000-0100-000006000000}" name="MovingAverage-SU" dataDxfId="62">
      <calculatedColumnFormula>AVERAGE(OFFSET(G6,,,4*-1))</calculatedColumnFormula>
    </tableColumn>
    <tableColumn id="19" xr3:uid="{00000000-0010-0000-0100-000013000000}" name="YOY - Growth-SU" dataDxfId="61">
      <calculatedColumnFormula>(G6-G2)/G2</calculatedColumnFormula>
    </tableColumn>
    <tableColumn id="7" xr3:uid="{00000000-0010-0000-0100-000007000000}" name="Stafford (Combined)  - Recipients" dataDxfId="60"/>
    <tableColumn id="8" xr3:uid="{00000000-0010-0000-0100-000008000000}" name="Moving Average-SC" dataDxfId="59">
      <calculatedColumnFormula>AVERAGE(OFFSET(J6,,,4*-1))</calculatedColumnFormula>
    </tableColumn>
    <tableColumn id="20" xr3:uid="{00000000-0010-0000-0100-000014000000}" name="YOY Growth - SC" dataDxfId="58">
      <calculatedColumnFormula>(K6-K2)/K2</calculatedColumnFormula>
    </tableColumn>
    <tableColumn id="9" xr3:uid="{00000000-0010-0000-0100-000009000000}" name="Grad PLUS  - Recipients" dataDxfId="57" dataCellStyle="Currency"/>
    <tableColumn id="10" xr3:uid="{00000000-0010-0000-0100-00000A000000}" name="Moving Average-GP" dataDxfId="56">
      <calculatedColumnFormula>AVERAGE(OFFSET(M6,,,4*-1))</calculatedColumnFormula>
    </tableColumn>
    <tableColumn id="21" xr3:uid="{00000000-0010-0000-0100-000015000000}" name="YOY Growth - GP" dataDxfId="55">
      <calculatedColumnFormula>(N6-N2)/N2</calculatedColumnFormula>
    </tableColumn>
    <tableColumn id="11" xr3:uid="{00000000-0010-0000-0100-00000B000000}" name="Parent PLUS  - Recipients" dataDxfId="54"/>
    <tableColumn id="12" xr3:uid="{00000000-0010-0000-0100-00000C000000}" name="Moving Average-PP" dataDxfId="53">
      <calculatedColumnFormula>AVERAGE(OFFSET(P6,,,4*-1))</calculatedColumnFormula>
    </tableColumn>
    <tableColumn id="22" xr3:uid="{00000000-0010-0000-0100-000016000000}" name="YOY Growth - PP" dataDxfId="52">
      <calculatedColumnFormula>(P6-P2)/P2</calculatedColumnFormula>
    </tableColumn>
    <tableColumn id="13" xr3:uid="{00000000-0010-0000-0100-00000D000000}" name="Perkins  - Recipients" dataDxfId="51" dataCellStyle="Currency"/>
    <tableColumn id="14" xr3:uid="{00000000-0010-0000-0100-00000E000000}" name="Moving Average-P" dataDxfId="50">
      <calculatedColumnFormula>AVERAGE(OFFSET(S6,,,4*-1))</calculatedColumnFormula>
    </tableColumn>
    <tableColumn id="23" xr3:uid="{00000000-0010-0000-0100-000017000000}" name="YOY Growth - P" dataDxfId="49">
      <calculatedColumnFormula>(S6-S2)/S2</calculatedColumnFormula>
    </tableColumn>
    <tableColumn id="15" xr3:uid="{00000000-0010-0000-0100-00000F000000}" name="Consolidation  - Recipients" dataDxfId="48"/>
    <tableColumn id="16" xr3:uid="{00000000-0010-0000-0100-000010000000}" name="Column16" dataDxfId="47"/>
    <tableColumn id="17" xr3:uid="{00000000-0010-0000-0100-000011000000}" name="Moving Average-C" dataDxfId="46">
      <calculatedColumnFormula>AVERAGE(OFFSET(V6,,,4*-1))</calculatedColumnFormula>
    </tableColumn>
    <tableColumn id="24" xr3:uid="{00000000-0010-0000-0100-000018000000}" name="YOY Growth - C" dataDxfId="45">
      <calculatedColumnFormula>(V6-V2)/V2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78B113C-0E9C-4B86-BDF6-5808465A7769}" name="Table5" displayName="Table5" ref="A3:F563" totalsRowShown="0" headerRowDxfId="44" headerRowBorderDxfId="43">
  <autoFilter ref="A3:F563" xr:uid="{7E46570B-CCBE-49DF-984B-1DC495915E7E}"/>
  <tableColumns count="6">
    <tableColumn id="1" xr3:uid="{00000000-0010-0000-0300-000001000000}" name="Year" dataDxfId="42"/>
    <tableColumn id="2" xr3:uid="{00000000-0010-0000-0300-000002000000}" name="Quarter" dataDxfId="41"/>
    <tableColumn id="3" xr3:uid="{00000000-0010-0000-0300-000003000000}" name="Loan Type" dataDxfId="40"/>
    <tableColumn id="4" xr3:uid="{00000000-0010-0000-0300-000004000000}" name="Metric" dataDxfId="39"/>
    <tableColumn id="5" xr3:uid="{00000000-0010-0000-0300-000005000000}" name="Value" dataDxfId="38"/>
    <tableColumn id="6" xr3:uid="{00000000-0010-0000-0300-000006000000}" name="Average outstanding loan per recipient" dataDxfId="37"/>
  </tableColumns>
  <tableStyleInfo name="TableStyleLight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D69ABD-07C3-4F6D-AD6C-27678F9EE248}" name="Table1" displayName="Table1" ref="A4:E18" totalsRowShown="0" headerRowDxfId="25">
  <tableColumns count="5">
    <tableColumn id="1" xr3:uid="{655956AC-4878-40B2-A4E3-364C4AA588C5}" name="Federal Fiscal Year"/>
    <tableColumn id="2" xr3:uid="{081EF2D5-CC67-4852-99F8-74C6177252CC}" name=" Dollars Outstanding_x000a_(in billions)"/>
    <tableColumn id="3" xr3:uid="{0BB8EBB1-25CB-4B65-9BD2-B7F3D64E4A2F}" name="Forecast( Dollars Outstanding_x000a_(in billions))" dataDxfId="28"/>
    <tableColumn id="4" xr3:uid="{888BE851-EBD3-4EBE-A0DA-D89774403390}" name="Lower Confidence Bound( Dollars Outstanding_x000a_(in billions))" dataDxfId="27"/>
    <tableColumn id="5" xr3:uid="{69E42A84-824A-47B4-BDD9-E2A0043D1575}" name="Upper Confidence Bound( Dollars Outstanding_x000a_(in billions))" dataDxfId="2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898EC3-D381-46D5-85FC-E73DD8A93FDE}" name="Table68" displayName="Table68" ref="A48:E62" totalsRowShown="0" headerRowDxfId="24">
  <autoFilter ref="A48:E62" xr:uid="{62898EC3-D381-46D5-85FC-E73DD8A93FDE}"/>
  <tableColumns count="5">
    <tableColumn id="1" xr3:uid="{D4D33100-631B-4787-B154-6760DA25B43E}" name="Federal Fiscal Year"/>
    <tableColumn id="2" xr3:uid="{526C63A5-4B6B-4FA8-82D2-136E65D32E88}" name=" Dollars Outstanding_x000a_(in billions)"/>
    <tableColumn id="3" xr3:uid="{C8D45F8F-F114-4843-9255-DA31191C6881}" name="Forecast( Dollars Outstanding_x000a_(in billions))" dataDxfId="23"/>
    <tableColumn id="4" xr3:uid="{D619A86D-9CDB-442C-BAF7-DEB4428FE531}" name="Lower Confidence Bound( Dollars Outstanding_x000a_(in billions))" dataDxfId="22"/>
    <tableColumn id="5" xr3:uid="{97EEA79B-E021-4296-AB63-88A4BC1F9513}" name="Upper Confidence Bound( Dollars Outstanding_x000a_(in billions))" dataDxfId="2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1D98811-B559-4206-A3EC-B7EABAAB7ED5}" name="Table810" displayName="Table810" ref="A91:E105" totalsRowShown="0" headerRowDxfId="20">
  <autoFilter ref="A91:E105" xr:uid="{01D98811-B559-4206-A3EC-B7EABAAB7ED5}"/>
  <tableColumns count="5">
    <tableColumn id="1" xr3:uid="{9DB5F60E-7175-4DB7-9FEC-AE236DC3E257}" name="Federal Fiscal Year"/>
    <tableColumn id="2" xr3:uid="{B102B58B-DC2D-4ECE-A180-638364AAD062}" name=" Dollars Outstanding_x000a_(in billions)"/>
    <tableColumn id="3" xr3:uid="{3D684D92-2EAC-48D0-A75C-7C7A1514743C}" name="Forecast( Dollars Outstanding_x000a_(in billions))" dataDxfId="19"/>
    <tableColumn id="4" xr3:uid="{8AE0B2B8-6EFE-488D-9852-7D8CD3E647D0}" name="Lower Confidence Bound( Dollars Outstanding_x000a_(in billions))" dataDxfId="18"/>
    <tableColumn id="5" xr3:uid="{F6A1B7D5-8E25-41D8-9CA0-8B9D7E18D7C2}" name="Upper Confidence Bound( Dollars Outstanding_x000a_(in billions))" dataDxfId="17"/>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3A7C5DA-E2FE-4294-B67A-1915CB728FA2}" name="Table1113" displayName="Table1113" ref="A128:E142" totalsRowShown="0" headerRowDxfId="16">
  <autoFilter ref="A128:E142" xr:uid="{A3A7C5DA-E2FE-4294-B67A-1915CB728FA2}"/>
  <tableColumns count="5">
    <tableColumn id="1" xr3:uid="{B43BAC34-C956-4AA2-8867-296A0A499DF5}" name="Federal Fiscal Year"/>
    <tableColumn id="2" xr3:uid="{58FC9E79-2AC6-45F8-AED6-3462F80A4A9D}" name=" Dollars Outstanding_x000a_(in billions)"/>
    <tableColumn id="3" xr3:uid="{54DAF26A-7E93-4401-8AA9-C44291677A0B}" name="Forecast( Dollars Outstanding_x000a_(in billions))" dataDxfId="15"/>
    <tableColumn id="4" xr3:uid="{E71C26EE-DCE6-4FB1-AC3E-AA9F6A4D3562}" name="Lower Confidence Bound( Dollars Outstanding_x000a_(in billions))" dataDxfId="14"/>
    <tableColumn id="5" xr3:uid="{62D26E0E-896A-4C8E-98BB-5132A75A41D8}" name="Upper Confidence Bound( Dollars Outstanding_x000a_(in billions))" dataDxfId="13"/>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CE6DA7-867A-478A-892F-823AE5769A90}" name="Table1315" displayName="Table1315" ref="A168:E182" totalsRowShown="0" headerRowDxfId="11">
  <autoFilter ref="A168:E182" xr:uid="{F2CE6DA7-867A-478A-892F-823AE5769A90}"/>
  <tableColumns count="5">
    <tableColumn id="1" xr3:uid="{1377E30D-DD9B-48E4-AF73-2CAD59E47E8A}" name="Federal Fiscal Year"/>
    <tableColumn id="2" xr3:uid="{8A3D2390-EC94-407A-93FD-C090C4E2F094}" name=" Dollars Outstanding_x000a_(in billions)"/>
    <tableColumn id="3" xr3:uid="{5CD6AB89-3815-4031-9D89-589D098202B9}" name="Forecast( Dollars Outstanding_x000a_(in billions))" dataDxfId="10"/>
    <tableColumn id="4" xr3:uid="{35F0D2FF-6BDF-4A62-A57F-33AF984DA221}" name="Lower Confidence Bound( Dollars Outstanding_x000a_(in billions))" dataDxfId="9"/>
    <tableColumn id="5" xr3:uid="{47C01605-F9E4-43DE-AC95-DA53A09ED552}" name="Upper Confidence Bound( Dollars Outstanding_x000a_(in billions))" dataDxfId="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81CC53-2E70-4BBD-8905-9DCAD31F1DDA}" name="Table1517" displayName="Table1517" ref="A210:E224" totalsRowShown="0" headerRowDxfId="7">
  <autoFilter ref="A210:E224" xr:uid="{2C81CC53-2E70-4BBD-8905-9DCAD31F1DDA}"/>
  <tableColumns count="5">
    <tableColumn id="1" xr3:uid="{80269B42-56D5-4BA6-891A-0AC7ADFC3A2D}" name="Federal Fiscal Year"/>
    <tableColumn id="2" xr3:uid="{FBCCFA08-7B31-4877-BCCA-CD8A6FEFE74D}" name=" Dollars Outstanding_x000a_(in billions)"/>
    <tableColumn id="3" xr3:uid="{9005A2A7-135A-4672-9A16-7CCBAFF70F90}" name="Forecast( Dollars Outstanding_x000a_(in billions))" dataDxfId="6"/>
    <tableColumn id="4" xr3:uid="{AC93E2AB-0BC1-4CD1-A89E-46EC15337D27}" name="Lower Confidence Bound( Dollars Outstanding_x000a_(in billions))" dataDxfId="5"/>
    <tableColumn id="5" xr3:uid="{E1A45D0A-BDD8-41DA-8E0B-AA7DBCF37804}" name="Upper Confidence Bound( Dollars Outstanding_x000a_(in billions))" dataDxfId="4"/>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3171A30-294A-4716-BD84-481E34AE0D31}" name="Table1719" displayName="Table1719" ref="A253:E267" totalsRowShown="0" headerRowDxfId="3">
  <autoFilter ref="A253:E267" xr:uid="{A3171A30-294A-4716-BD84-481E34AE0D31}"/>
  <tableColumns count="5">
    <tableColumn id="1" xr3:uid="{A5FDB0BB-3256-4C0A-8FAC-2750064C09B1}" name="Federal Fiscal Year"/>
    <tableColumn id="2" xr3:uid="{9ED74064-C9DA-4435-BCC7-E0958D4519B0}" name=" Dollars Outstanding_x000a_(in billions)"/>
    <tableColumn id="3" xr3:uid="{DB5FE192-190A-4BD2-88D4-EFD56DF4C370}" name="Forecast( Dollars Outstanding_x000a_(in billions))" dataDxfId="2"/>
    <tableColumn id="4" xr3:uid="{B7C1055D-BAD9-4EB8-B3C5-D744E4159BE6}" name="Lower Confidence Bound( Dollars Outstanding_x000a_(in billions))" dataDxfId="1"/>
    <tableColumn id="5" xr3:uid="{A7FEE8A8-FF12-4AB6-8645-5667DA8D76BE}" name="Upper Confidence Bound( Dollars Outstanding_x000a_(in billions))" dataDxfId="0"/>
  </tableColumns>
  <tableStyleInfo name="TableStyleMedium9"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oncourse">
  <a:themeElements>
    <a:clrScheme name="Concourse">
      <a:dk1>
        <a:sysClr val="windowText" lastClr="000000"/>
      </a:dk1>
      <a:lt1>
        <a:sysClr val="window" lastClr="FFFFFF"/>
      </a:lt1>
      <a:dk2>
        <a:srgbClr val="464646"/>
      </a:dk2>
      <a:lt2>
        <a:srgbClr val="DEF5FA"/>
      </a:lt2>
      <a:accent1>
        <a:srgbClr val="2DA2BF"/>
      </a:accent1>
      <a:accent2>
        <a:srgbClr val="DA1F28"/>
      </a:accent2>
      <a:accent3>
        <a:srgbClr val="EB641B"/>
      </a:accent3>
      <a:accent4>
        <a:srgbClr val="39639D"/>
      </a:accent4>
      <a:accent5>
        <a:srgbClr val="474B78"/>
      </a:accent5>
      <a:accent6>
        <a:srgbClr val="7D3C4A"/>
      </a:accent6>
      <a:hlink>
        <a:srgbClr val="FF8119"/>
      </a:hlink>
      <a:folHlink>
        <a:srgbClr val="44B9E8"/>
      </a:folHlink>
    </a:clrScheme>
    <a:fontScheme name="Concourse">
      <a:majorFont>
        <a:latin typeface="Lucida Sans Unicode"/>
        <a:ea typeface=""/>
        <a:cs typeface=""/>
        <a:font script="Jpan" typeface="ＭＳ Ｐゴシック"/>
        <a:font script="Hang" typeface="맑은 고딕"/>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Uigh" typeface="Microsoft Uighur"/>
        <a:font script="Geor" typeface="Sylfaen"/>
      </a:majorFont>
      <a:minorFont>
        <a:latin typeface="Lucida Sans Unicode"/>
        <a:ea typeface=""/>
        <a:cs typeface=""/>
        <a:font script="Jpan" typeface="ＭＳ Ｐゴシック"/>
        <a:font script="Hang" typeface="맑은 고딕"/>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Uigh" typeface="Microsoft Uighur"/>
        <a:font script="Geor" typeface="Sylfaen"/>
      </a:minorFont>
    </a:fontScheme>
    <a:fmtScheme name="Concourse">
      <a:fillStyleLst>
        <a:solidFill>
          <a:schemeClr val="phClr"/>
        </a:solidFill>
        <a:gradFill rotWithShape="1">
          <a:gsLst>
            <a:gs pos="0">
              <a:schemeClr val="phClr">
                <a:tint val="62000"/>
                <a:satMod val="180000"/>
              </a:schemeClr>
            </a:gs>
            <a:gs pos="65000">
              <a:schemeClr val="phClr">
                <a:tint val="32000"/>
                <a:satMod val="250000"/>
              </a:schemeClr>
            </a:gs>
            <a:gs pos="100000">
              <a:schemeClr val="phClr">
                <a:tint val="23000"/>
                <a:satMod val="300000"/>
              </a:schemeClr>
            </a:gs>
          </a:gsLst>
          <a:lin ang="16200000" scaled="0"/>
        </a:gradFill>
        <a:gradFill rotWithShape="1">
          <a:gsLst>
            <a:gs pos="0">
              <a:schemeClr val="phClr">
                <a:shade val="15000"/>
                <a:satMod val="180000"/>
              </a:schemeClr>
            </a:gs>
            <a:gs pos="50000">
              <a:schemeClr val="phClr">
                <a:shade val="45000"/>
                <a:satMod val="170000"/>
              </a:schemeClr>
            </a:gs>
            <a:gs pos="70000">
              <a:schemeClr val="phClr">
                <a:tint val="99000"/>
                <a:shade val="65000"/>
                <a:satMod val="155000"/>
              </a:schemeClr>
            </a:gs>
            <a:gs pos="100000">
              <a:schemeClr val="phClr">
                <a:tint val="95500"/>
                <a:shade val="100000"/>
                <a:satMod val="155000"/>
              </a:schemeClr>
            </a:gs>
          </a:gsLst>
          <a:lin ang="16200000" scaled="0"/>
        </a:gradFill>
      </a:fillStyleLst>
      <a:lnStyleLst>
        <a:ln w="9525" cap="flat" cmpd="sng" algn="ctr">
          <a:solidFill>
            <a:schemeClr val="phClr"/>
          </a:solidFill>
          <a:prstDash val="solid"/>
        </a:ln>
        <a:ln w="55000" cap="flat" cmpd="thickThin" algn="ctr">
          <a:solidFill>
            <a:schemeClr val="phClr"/>
          </a:solidFill>
          <a:prstDash val="solid"/>
        </a:ln>
        <a:ln w="63500" cap="flat" cmpd="thickThin" algn="ctr">
          <a:solidFill>
            <a:schemeClr val="phClr"/>
          </a:solidFill>
          <a:prstDash val="solid"/>
        </a:ln>
      </a:lnStyleLst>
      <a:effectStyleLst>
        <a:effectStyle>
          <a:effectLst>
            <a:outerShdw blurRad="50800" dist="38100" dir="5400000" rotWithShape="0">
              <a:srgbClr val="000000">
                <a:alpha val="35000"/>
              </a:srgbClr>
            </a:outerShdw>
          </a:effectLst>
        </a:effectStyle>
        <a:effectStyle>
          <a:effectLst>
            <a:outerShdw blurRad="50800" dist="38100" dir="5400000" rotWithShape="0">
              <a:srgbClr val="000000">
                <a:alpha val="35000"/>
              </a:srgbClr>
            </a:outerShdw>
          </a:effectLst>
        </a:effectStyle>
        <a:effectStyle>
          <a:effectLst>
            <a:outerShdw blurRad="63500" dist="38100" dir="5400000" rotWithShape="0">
              <a:srgbClr val="000000">
                <a:alpha val="45000"/>
              </a:srgbClr>
            </a:outerShdw>
          </a:effectLst>
          <a:scene3d>
            <a:camera prst="orthographicFront" fov="0">
              <a:rot lat="0" lon="0" rev="0"/>
            </a:camera>
            <a:lightRig rig="glow" dir="t">
              <a:rot lat="0" lon="0" rev="6360000"/>
            </a:lightRig>
          </a:scene3d>
          <a:sp3d contourW="1000" prstMaterial="flat">
            <a:bevelT w="95250" h="101600"/>
            <a:contourClr>
              <a:schemeClr val="phClr">
                <a:satMod val="300000"/>
              </a:schemeClr>
            </a:contourClr>
          </a:sp3d>
        </a:effectStyle>
      </a:effectStyleLst>
      <a:bgFillStyleLst>
        <a:solidFill>
          <a:schemeClr val="phClr"/>
        </a:solidFill>
        <a:gradFill rotWithShape="1">
          <a:gsLst>
            <a:gs pos="0">
              <a:schemeClr val="phClr">
                <a:tint val="55000"/>
                <a:satMod val="300000"/>
              </a:schemeClr>
            </a:gs>
            <a:gs pos="40000">
              <a:schemeClr val="phClr">
                <a:tint val="65000"/>
                <a:satMod val="300000"/>
              </a:schemeClr>
            </a:gs>
            <a:gs pos="100000">
              <a:schemeClr val="phClr">
                <a:shade val="65000"/>
                <a:satMod val="300000"/>
              </a:schemeClr>
            </a:gs>
          </a:gsLst>
          <a:path path="circle">
            <a:fillToRect l="65000" b="98000"/>
          </a:path>
        </a:gradFill>
        <a:blipFill>
          <a:blip xmlns:r="http://schemas.openxmlformats.org/officeDocument/2006/relationships" r:embed="rId1">
            <a:duotone>
              <a:schemeClr val="phClr">
                <a:shade val="60000"/>
                <a:satMod val="110000"/>
              </a:schemeClr>
              <a:schemeClr val="phClr">
                <a:tint val="95000"/>
              </a:schemeClr>
            </a:duotone>
          </a:blip>
          <a:tile tx="0" ty="0" sx="50000" sy="5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drawing" Target="../drawings/drawing4.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D845D-5147-4859-A2A5-14ADB7B2870B}">
  <sheetPr>
    <pageSetUpPr fitToPage="1"/>
  </sheetPr>
  <dimension ref="A1:AP61"/>
  <sheetViews>
    <sheetView tabSelected="1" topLeftCell="A4" zoomScale="85" zoomScaleNormal="85" workbookViewId="0">
      <selection activeCell="B49" activeCellId="1" sqref="O6:O49 A6:B49"/>
    </sheetView>
  </sheetViews>
  <sheetFormatPr defaultRowHeight="12.75" x14ac:dyDescent="0.2"/>
  <cols>
    <col min="1" max="1" width="14.140625" customWidth="1"/>
    <col min="2" max="2" width="9.28515625" customWidth="1"/>
    <col min="3" max="3" width="19.140625" bestFit="1" customWidth="1"/>
    <col min="4" max="5" width="15.85546875" customWidth="1"/>
    <col min="6" max="6" width="14.140625" customWidth="1"/>
    <col min="7" max="7" width="15.85546875" bestFit="1" customWidth="1"/>
    <col min="8" max="8" width="14.140625" customWidth="1"/>
    <col min="9" max="9" width="17.42578125" bestFit="1" customWidth="1"/>
    <col min="10" max="11" width="15.85546875" customWidth="1"/>
    <col min="12" max="14" width="14.140625" customWidth="1"/>
    <col min="15" max="15" width="15.85546875" bestFit="1" customWidth="1"/>
    <col min="16" max="20" width="14.140625" customWidth="1"/>
    <col min="21" max="21" width="14.85546875" bestFit="1" customWidth="1"/>
    <col min="22" max="23" width="14.85546875" customWidth="1"/>
    <col min="24" max="26" width="14.140625" customWidth="1"/>
    <col min="27" max="27" width="15.85546875" bestFit="1" customWidth="1"/>
    <col min="28" max="29" width="15.85546875" customWidth="1"/>
    <col min="30" max="38" width="14.140625" customWidth="1"/>
    <col min="39" max="39" width="15.85546875" bestFit="1" customWidth="1"/>
    <col min="40" max="41" width="15.85546875" customWidth="1"/>
    <col min="42" max="42" width="14.140625" customWidth="1"/>
  </cols>
  <sheetData>
    <row r="1" spans="1:42" ht="18.75" x14ac:dyDescent="0.3">
      <c r="A1" s="115" t="s">
        <v>4</v>
      </c>
      <c r="B1" s="115"/>
      <c r="C1" s="115"/>
      <c r="D1" s="115"/>
      <c r="E1" s="115"/>
      <c r="F1" s="115"/>
      <c r="G1" s="115"/>
      <c r="H1" s="115"/>
      <c r="I1" s="115"/>
      <c r="J1" s="115"/>
      <c r="K1" s="115"/>
      <c r="L1" s="115"/>
      <c r="M1" s="115"/>
      <c r="N1" s="115"/>
      <c r="O1" s="115"/>
      <c r="P1" s="115"/>
      <c r="Q1" s="30"/>
      <c r="R1" s="30"/>
      <c r="S1" s="30"/>
      <c r="T1" s="30"/>
      <c r="U1" s="30"/>
      <c r="V1" s="30"/>
      <c r="W1" s="30"/>
      <c r="X1" s="30"/>
      <c r="Y1" s="30"/>
      <c r="Z1" s="30"/>
      <c r="AA1" s="30"/>
      <c r="AB1" s="30"/>
      <c r="AC1" s="30"/>
      <c r="AD1" s="30"/>
      <c r="AE1" s="30"/>
      <c r="AF1" s="30"/>
      <c r="AG1" s="30"/>
      <c r="AH1" s="30"/>
      <c r="AI1" s="30"/>
      <c r="AJ1" s="30"/>
      <c r="AK1" s="30"/>
      <c r="AL1" s="30"/>
      <c r="AM1" s="30"/>
      <c r="AN1" s="30"/>
      <c r="AO1" s="30"/>
      <c r="AP1" s="30"/>
    </row>
    <row r="2" spans="1:42" ht="15.6" customHeight="1" x14ac:dyDescent="0.25">
      <c r="A2" s="116" t="s">
        <v>1</v>
      </c>
      <c r="B2" s="116"/>
      <c r="C2" s="116"/>
      <c r="D2" s="116"/>
      <c r="E2" s="116"/>
      <c r="F2" s="116"/>
      <c r="G2" s="116"/>
      <c r="H2" s="116"/>
      <c r="I2" s="116"/>
      <c r="J2" s="116"/>
      <c r="K2" s="116"/>
      <c r="L2" s="116"/>
      <c r="M2" s="116"/>
      <c r="N2" s="116"/>
      <c r="O2" s="116"/>
      <c r="P2" s="116"/>
      <c r="Q2" s="31"/>
      <c r="R2" s="31"/>
      <c r="S2" s="31"/>
      <c r="T2" s="31"/>
      <c r="U2" s="31"/>
      <c r="V2" s="31"/>
      <c r="W2" s="31"/>
      <c r="X2" s="31"/>
      <c r="Y2" s="31"/>
      <c r="Z2" s="31"/>
      <c r="AA2" s="31"/>
      <c r="AB2" s="31"/>
      <c r="AC2" s="31"/>
      <c r="AD2" s="31"/>
      <c r="AE2" s="31"/>
      <c r="AF2" s="31"/>
      <c r="AG2" s="31"/>
      <c r="AH2" s="31"/>
      <c r="AI2" s="31"/>
      <c r="AJ2" s="31"/>
      <c r="AK2" s="31"/>
      <c r="AL2" s="31"/>
      <c r="AM2" s="31"/>
      <c r="AN2" s="31"/>
      <c r="AO2" s="31"/>
      <c r="AP2" s="31"/>
    </row>
    <row r="3" spans="1:42" ht="15.75" x14ac:dyDescent="0.25">
      <c r="A3" s="117" t="s">
        <v>0</v>
      </c>
      <c r="B3" s="117"/>
      <c r="C3" s="117"/>
      <c r="D3" s="117"/>
      <c r="E3" s="117"/>
      <c r="F3" s="117"/>
      <c r="G3" s="117"/>
      <c r="H3" s="117"/>
      <c r="I3" s="117"/>
      <c r="J3" s="117"/>
      <c r="K3" s="117"/>
      <c r="L3" s="117"/>
      <c r="M3" s="117"/>
      <c r="N3" s="117"/>
      <c r="O3" s="117"/>
      <c r="P3" s="117"/>
      <c r="Q3" s="5"/>
      <c r="R3" s="5"/>
      <c r="S3" s="5"/>
      <c r="T3" s="5"/>
      <c r="U3" s="5"/>
      <c r="V3" s="5"/>
      <c r="W3" s="5"/>
      <c r="X3" s="5"/>
      <c r="Y3" s="5"/>
      <c r="Z3" s="5"/>
      <c r="AA3" s="5"/>
      <c r="AB3" s="5"/>
      <c r="AC3" s="5"/>
      <c r="AD3" s="5"/>
      <c r="AE3" s="5"/>
      <c r="AF3" s="5"/>
      <c r="AG3" s="5"/>
      <c r="AH3" s="5"/>
      <c r="AI3" s="5"/>
      <c r="AJ3" s="5"/>
      <c r="AK3" s="5"/>
      <c r="AL3" s="5"/>
      <c r="AM3" s="5"/>
      <c r="AN3" s="5"/>
      <c r="AO3" s="5"/>
      <c r="AP3" s="5"/>
    </row>
    <row r="4" spans="1:42" ht="15.75" x14ac:dyDescent="0.25">
      <c r="A4" s="5"/>
      <c r="B4" s="5"/>
      <c r="C4" s="5"/>
      <c r="D4" s="5"/>
      <c r="E4" s="5"/>
      <c r="F4" s="5"/>
      <c r="G4" s="5"/>
      <c r="H4" s="5"/>
      <c r="I4" s="5"/>
      <c r="J4" s="5"/>
      <c r="K4" s="5"/>
      <c r="L4" s="5"/>
      <c r="M4" s="5"/>
      <c r="N4" s="5"/>
    </row>
    <row r="5" spans="1:42" ht="31.5" customHeight="1" x14ac:dyDescent="0.25">
      <c r="A5" s="5"/>
      <c r="B5" s="5"/>
      <c r="C5" s="118" t="s">
        <v>74</v>
      </c>
      <c r="D5" s="119"/>
      <c r="E5" s="120" t="s">
        <v>5</v>
      </c>
      <c r="F5" s="121"/>
      <c r="G5" s="118" t="s">
        <v>6</v>
      </c>
      <c r="H5" s="119"/>
      <c r="I5" s="120" t="s">
        <v>7</v>
      </c>
      <c r="J5" s="121"/>
      <c r="K5" s="118" t="s">
        <v>8</v>
      </c>
      <c r="L5" s="119"/>
      <c r="M5" s="120" t="s">
        <v>9</v>
      </c>
      <c r="N5" s="121"/>
      <c r="O5" s="118" t="s">
        <v>10</v>
      </c>
      <c r="P5" s="119"/>
    </row>
    <row r="6" spans="1:42" ht="47.25" x14ac:dyDescent="0.2">
      <c r="A6" s="52" t="s">
        <v>2</v>
      </c>
      <c r="B6" s="52" t="s">
        <v>22</v>
      </c>
      <c r="C6" s="48" t="s">
        <v>71</v>
      </c>
      <c r="D6" s="48" t="s">
        <v>72</v>
      </c>
      <c r="E6" s="49" t="s">
        <v>71</v>
      </c>
      <c r="F6" s="49" t="s">
        <v>72</v>
      </c>
      <c r="G6" s="48" t="s">
        <v>71</v>
      </c>
      <c r="H6" s="48" t="s">
        <v>73</v>
      </c>
      <c r="I6" s="49" t="s">
        <v>71</v>
      </c>
      <c r="J6" s="49" t="s">
        <v>72</v>
      </c>
      <c r="K6" s="48" t="s">
        <v>71</v>
      </c>
      <c r="L6" s="48" t="s">
        <v>72</v>
      </c>
      <c r="M6" s="49" t="s">
        <v>71</v>
      </c>
      <c r="N6" s="49" t="s">
        <v>72</v>
      </c>
      <c r="O6" s="48" t="s">
        <v>71</v>
      </c>
      <c r="P6" s="48" t="s">
        <v>72</v>
      </c>
    </row>
    <row r="7" spans="1:42" ht="30.2" customHeight="1" x14ac:dyDescent="0.2">
      <c r="A7" s="8">
        <v>2014</v>
      </c>
      <c r="B7" s="6" t="s">
        <v>3</v>
      </c>
      <c r="C7" s="4">
        <v>255.3</v>
      </c>
      <c r="D7" s="1">
        <v>28.2</v>
      </c>
      <c r="E7" s="3">
        <v>350.7</v>
      </c>
      <c r="F7" s="2">
        <v>25.5</v>
      </c>
      <c r="G7" s="4">
        <v>606</v>
      </c>
      <c r="H7" s="1">
        <v>30.7</v>
      </c>
      <c r="I7" s="3">
        <v>37.799999999999997</v>
      </c>
      <c r="J7" s="2">
        <v>0.9</v>
      </c>
      <c r="K7" s="4">
        <v>62.2</v>
      </c>
      <c r="L7" s="1">
        <v>3.1</v>
      </c>
      <c r="M7" s="3">
        <v>8.3000000000000007</v>
      </c>
      <c r="N7" s="7">
        <v>3</v>
      </c>
      <c r="O7" s="4">
        <v>373.6</v>
      </c>
      <c r="P7" s="1">
        <v>11.8</v>
      </c>
    </row>
    <row r="8" spans="1:42" ht="30.2" customHeight="1" x14ac:dyDescent="0.2">
      <c r="A8" s="8">
        <v>2014</v>
      </c>
      <c r="B8" s="6" t="s">
        <v>15</v>
      </c>
      <c r="C8" s="4">
        <v>254.1</v>
      </c>
      <c r="D8" s="10">
        <v>28</v>
      </c>
      <c r="E8" s="3">
        <v>355.1</v>
      </c>
      <c r="F8" s="2">
        <v>25.5</v>
      </c>
      <c r="G8" s="4">
        <v>609.20000000000005</v>
      </c>
      <c r="H8" s="1">
        <v>30.5</v>
      </c>
      <c r="I8" s="3">
        <v>38.6</v>
      </c>
      <c r="J8" s="2">
        <v>0.9</v>
      </c>
      <c r="K8" s="4">
        <v>61.9</v>
      </c>
      <c r="L8" s="1">
        <v>3.1</v>
      </c>
      <c r="M8" s="3">
        <v>8.1999999999999993</v>
      </c>
      <c r="N8" s="7">
        <v>2.9</v>
      </c>
      <c r="O8" s="4">
        <v>378.8</v>
      </c>
      <c r="P8" s="1">
        <v>11.8</v>
      </c>
    </row>
    <row r="9" spans="1:42" ht="30.2" customHeight="1" x14ac:dyDescent="0.2">
      <c r="A9" s="8">
        <v>2014</v>
      </c>
      <c r="B9" s="6" t="s">
        <v>16</v>
      </c>
      <c r="C9" s="4">
        <v>258.8</v>
      </c>
      <c r="D9" s="10">
        <v>28.7</v>
      </c>
      <c r="E9" s="3">
        <v>370.8</v>
      </c>
      <c r="F9" s="2">
        <v>26.3</v>
      </c>
      <c r="G9" s="4">
        <v>629.70000000000005</v>
      </c>
      <c r="H9" s="1">
        <v>31.4</v>
      </c>
      <c r="I9" s="3">
        <v>41.2</v>
      </c>
      <c r="J9" s="7">
        <v>1</v>
      </c>
      <c r="K9" s="4">
        <v>65.099999999999994</v>
      </c>
      <c r="L9" s="1">
        <v>3.2</v>
      </c>
      <c r="M9" s="3">
        <v>8.1999999999999993</v>
      </c>
      <c r="N9" s="7">
        <v>2.9</v>
      </c>
      <c r="O9" s="4">
        <v>385.8</v>
      </c>
      <c r="P9" s="1">
        <v>11.8</v>
      </c>
    </row>
    <row r="10" spans="1:42" ht="30.2" customHeight="1" x14ac:dyDescent="0.2">
      <c r="A10" s="8">
        <v>2015</v>
      </c>
      <c r="B10" s="6" t="s">
        <v>18</v>
      </c>
      <c r="C10" s="4">
        <v>258</v>
      </c>
      <c r="D10" s="10">
        <v>28.9</v>
      </c>
      <c r="E10" s="3">
        <v>373</v>
      </c>
      <c r="F10" s="2">
        <v>26.6</v>
      </c>
      <c r="G10" s="4">
        <v>630.9</v>
      </c>
      <c r="H10" s="1">
        <v>31.7</v>
      </c>
      <c r="I10" s="3">
        <v>40.9</v>
      </c>
      <c r="J10" s="7">
        <v>1</v>
      </c>
      <c r="K10" s="4">
        <v>65.099999999999994</v>
      </c>
      <c r="L10" s="1">
        <v>3.2</v>
      </c>
      <c r="M10" s="3">
        <v>8.1999999999999993</v>
      </c>
      <c r="N10" s="7">
        <v>3</v>
      </c>
      <c r="O10" s="4">
        <v>394.9</v>
      </c>
      <c r="P10" s="1">
        <v>11.9</v>
      </c>
    </row>
    <row r="11" spans="1:42" ht="30.2" customHeight="1" x14ac:dyDescent="0.2">
      <c r="A11" s="8">
        <v>2015</v>
      </c>
      <c r="B11" s="6" t="s">
        <v>3</v>
      </c>
      <c r="C11" s="4">
        <v>262.89999999999998</v>
      </c>
      <c r="D11" s="10">
        <v>28.8</v>
      </c>
      <c r="E11" s="3">
        <v>388.4</v>
      </c>
      <c r="F11" s="2">
        <v>26.5</v>
      </c>
      <c r="G11" s="4">
        <v>651.29999999999995</v>
      </c>
      <c r="H11" s="1">
        <v>31.5</v>
      </c>
      <c r="I11" s="3">
        <v>43.4</v>
      </c>
      <c r="J11" s="7">
        <v>1</v>
      </c>
      <c r="K11" s="4">
        <v>68.7</v>
      </c>
      <c r="L11" s="1">
        <v>3.2</v>
      </c>
      <c r="M11" s="3">
        <v>8.3000000000000007</v>
      </c>
      <c r="N11" s="7">
        <v>2.9</v>
      </c>
      <c r="O11" s="4">
        <v>402.8</v>
      </c>
      <c r="P11" s="1">
        <v>11.9</v>
      </c>
    </row>
    <row r="12" spans="1:42" ht="30.2" customHeight="1" x14ac:dyDescent="0.2">
      <c r="A12" s="8">
        <v>2015</v>
      </c>
      <c r="B12" s="6" t="s">
        <v>15</v>
      </c>
      <c r="C12" s="4">
        <v>260.7</v>
      </c>
      <c r="D12" s="10">
        <v>28.5</v>
      </c>
      <c r="E12" s="3">
        <v>390.8</v>
      </c>
      <c r="F12" s="2">
        <v>26.4</v>
      </c>
      <c r="G12" s="4">
        <v>651.6</v>
      </c>
      <c r="H12" s="1">
        <v>31.3</v>
      </c>
      <c r="I12" s="3">
        <v>44.1</v>
      </c>
      <c r="J12" s="7">
        <v>1</v>
      </c>
      <c r="K12" s="4">
        <v>68</v>
      </c>
      <c r="L12" s="1">
        <v>3.1</v>
      </c>
      <c r="M12" s="3">
        <v>8.1999999999999993</v>
      </c>
      <c r="N12" s="7">
        <v>2.9</v>
      </c>
      <c r="O12" s="4">
        <v>410.3</v>
      </c>
      <c r="P12" s="1">
        <v>11.9</v>
      </c>
    </row>
    <row r="13" spans="1:42" ht="30.2" customHeight="1" x14ac:dyDescent="0.2">
      <c r="A13" s="8">
        <v>2015</v>
      </c>
      <c r="B13" s="6" t="s">
        <v>16</v>
      </c>
      <c r="C13" s="4">
        <v>264.8</v>
      </c>
      <c r="D13" s="10">
        <v>29.1</v>
      </c>
      <c r="E13" s="3">
        <v>404.9</v>
      </c>
      <c r="F13" s="2">
        <v>27.1</v>
      </c>
      <c r="G13" s="4">
        <v>669.7</v>
      </c>
      <c r="H13" s="1">
        <v>32.1</v>
      </c>
      <c r="I13" s="3">
        <v>46.8</v>
      </c>
      <c r="J13" s="7">
        <v>1</v>
      </c>
      <c r="K13" s="4">
        <v>71.099999999999994</v>
      </c>
      <c r="L13" s="1">
        <v>3.3</v>
      </c>
      <c r="M13" s="3">
        <v>8.1</v>
      </c>
      <c r="N13" s="7">
        <v>2.8</v>
      </c>
      <c r="O13" s="4">
        <v>416.7</v>
      </c>
      <c r="P13" s="1">
        <v>11.9</v>
      </c>
    </row>
    <row r="14" spans="1:42" ht="30.2" customHeight="1" x14ac:dyDescent="0.2">
      <c r="A14" s="8">
        <v>2016</v>
      </c>
      <c r="B14" s="6" t="s">
        <v>18</v>
      </c>
      <c r="C14" s="4">
        <v>264.10000000000002</v>
      </c>
      <c r="D14" s="10">
        <v>29.3</v>
      </c>
      <c r="E14" s="3">
        <v>406.6</v>
      </c>
      <c r="F14" s="2">
        <v>27.3</v>
      </c>
      <c r="G14" s="4">
        <v>670.7</v>
      </c>
      <c r="H14" s="1">
        <v>32.200000000000003</v>
      </c>
      <c r="I14" s="3">
        <v>46.6</v>
      </c>
      <c r="J14" s="7">
        <v>1</v>
      </c>
      <c r="K14" s="4">
        <v>71.099999999999994</v>
      </c>
      <c r="L14" s="1">
        <v>3.4</v>
      </c>
      <c r="M14" s="3">
        <v>8.1</v>
      </c>
      <c r="N14" s="7">
        <v>2.9</v>
      </c>
      <c r="O14" s="4">
        <v>423.6</v>
      </c>
      <c r="P14" s="10">
        <v>12</v>
      </c>
    </row>
    <row r="15" spans="1:42" ht="30.2" customHeight="1" x14ac:dyDescent="0.2">
      <c r="A15" s="8">
        <v>2016</v>
      </c>
      <c r="B15" s="6" t="s">
        <v>3</v>
      </c>
      <c r="C15" s="4">
        <v>269</v>
      </c>
      <c r="D15" s="10">
        <v>29.2</v>
      </c>
      <c r="E15" s="3">
        <v>421.8</v>
      </c>
      <c r="F15" s="2">
        <v>27.3</v>
      </c>
      <c r="G15" s="4">
        <v>690.8</v>
      </c>
      <c r="H15" s="1">
        <v>32.1</v>
      </c>
      <c r="I15" s="3">
        <v>49.4</v>
      </c>
      <c r="J15" s="7">
        <v>1</v>
      </c>
      <c r="K15" s="4">
        <v>75.2</v>
      </c>
      <c r="L15" s="1">
        <v>3.3</v>
      </c>
      <c r="M15" s="3">
        <v>8.1999999999999993</v>
      </c>
      <c r="N15" s="7">
        <v>2.8</v>
      </c>
      <c r="O15" s="4">
        <v>431.2</v>
      </c>
      <c r="P15" s="10">
        <v>12</v>
      </c>
    </row>
    <row r="16" spans="1:42" ht="30.2" customHeight="1" x14ac:dyDescent="0.2">
      <c r="A16" s="8">
        <v>2016</v>
      </c>
      <c r="B16" s="6" t="s">
        <v>15</v>
      </c>
      <c r="C16" s="4">
        <v>266.7</v>
      </c>
      <c r="D16" s="10">
        <v>28.9</v>
      </c>
      <c r="E16" s="3">
        <v>423.5</v>
      </c>
      <c r="F16" s="2">
        <v>27.1</v>
      </c>
      <c r="G16" s="4">
        <v>690.3</v>
      </c>
      <c r="H16" s="1">
        <v>31.9</v>
      </c>
      <c r="I16" s="3">
        <v>50.2</v>
      </c>
      <c r="J16" s="7">
        <v>1</v>
      </c>
      <c r="K16" s="4">
        <v>74.5</v>
      </c>
      <c r="L16" s="1">
        <v>3.3</v>
      </c>
      <c r="M16" s="3">
        <v>8</v>
      </c>
      <c r="N16" s="7">
        <v>2.7</v>
      </c>
      <c r="O16" s="4">
        <v>439.2</v>
      </c>
      <c r="P16" s="10">
        <v>12</v>
      </c>
    </row>
    <row r="17" spans="1:16" ht="30.2" customHeight="1" x14ac:dyDescent="0.2">
      <c r="A17" s="8">
        <v>2016</v>
      </c>
      <c r="B17" s="6" t="s">
        <v>16</v>
      </c>
      <c r="C17" s="4">
        <v>270.10000000000002</v>
      </c>
      <c r="D17" s="10">
        <v>29.5</v>
      </c>
      <c r="E17" s="3">
        <v>436.1</v>
      </c>
      <c r="F17" s="2">
        <v>27.8</v>
      </c>
      <c r="G17" s="4">
        <v>706.2</v>
      </c>
      <c r="H17" s="1">
        <v>32.6</v>
      </c>
      <c r="I17" s="3">
        <v>53</v>
      </c>
      <c r="J17" s="7">
        <v>1.1000000000000001</v>
      </c>
      <c r="K17" s="4">
        <v>77.8</v>
      </c>
      <c r="L17" s="1">
        <v>3.5</v>
      </c>
      <c r="M17" s="3">
        <v>7.9</v>
      </c>
      <c r="N17" s="7">
        <v>2.7</v>
      </c>
      <c r="O17" s="4">
        <v>447.3</v>
      </c>
      <c r="P17" s="10">
        <v>12</v>
      </c>
    </row>
    <row r="18" spans="1:16" ht="31.7" customHeight="1" x14ac:dyDescent="0.2">
      <c r="A18" s="8">
        <v>2017</v>
      </c>
      <c r="B18" s="6" t="s">
        <v>18</v>
      </c>
      <c r="C18" s="4">
        <v>268.8</v>
      </c>
      <c r="D18" s="10">
        <v>29.6</v>
      </c>
      <c r="E18" s="3">
        <v>436.5</v>
      </c>
      <c r="F18" s="7">
        <v>28</v>
      </c>
      <c r="G18" s="4">
        <v>705.3</v>
      </c>
      <c r="H18" s="1">
        <v>32.799999999999997</v>
      </c>
      <c r="I18" s="3">
        <v>52.8</v>
      </c>
      <c r="J18" s="7">
        <v>1.1000000000000001</v>
      </c>
      <c r="K18" s="4">
        <v>77.5</v>
      </c>
      <c r="L18" s="1">
        <v>3.5</v>
      </c>
      <c r="M18" s="3">
        <v>7.9</v>
      </c>
      <c r="N18" s="7">
        <v>2.7</v>
      </c>
      <c r="O18" s="4">
        <v>456.2</v>
      </c>
      <c r="P18" s="10">
        <v>12</v>
      </c>
    </row>
    <row r="19" spans="1:16" ht="31.7" customHeight="1" x14ac:dyDescent="0.2">
      <c r="A19" s="8">
        <v>2017</v>
      </c>
      <c r="B19" s="6" t="s">
        <v>3</v>
      </c>
      <c r="C19" s="4">
        <v>272.5</v>
      </c>
      <c r="D19" s="10">
        <v>29.4</v>
      </c>
      <c r="E19" s="3">
        <v>449.6</v>
      </c>
      <c r="F19" s="7">
        <v>27.9</v>
      </c>
      <c r="G19" s="4">
        <v>722.2</v>
      </c>
      <c r="H19" s="1">
        <v>32.6</v>
      </c>
      <c r="I19" s="3">
        <v>55.7</v>
      </c>
      <c r="J19" s="7">
        <v>1.1000000000000001</v>
      </c>
      <c r="K19" s="4">
        <v>81.5</v>
      </c>
      <c r="L19" s="1">
        <v>3.4</v>
      </c>
      <c r="M19" s="3">
        <v>7.9</v>
      </c>
      <c r="N19" s="7">
        <v>2.6</v>
      </c>
      <c r="O19" s="4">
        <v>464.5</v>
      </c>
      <c r="P19" s="10">
        <v>12</v>
      </c>
    </row>
    <row r="20" spans="1:16" ht="31.7" customHeight="1" x14ac:dyDescent="0.2">
      <c r="A20" s="8">
        <v>2017</v>
      </c>
      <c r="B20" s="6" t="s">
        <v>15</v>
      </c>
      <c r="C20" s="4">
        <v>269.89999999999998</v>
      </c>
      <c r="D20" s="10">
        <v>29</v>
      </c>
      <c r="E20" s="3">
        <v>450.3</v>
      </c>
      <c r="F20" s="7">
        <v>27.6</v>
      </c>
      <c r="G20" s="4">
        <v>720.2</v>
      </c>
      <c r="H20" s="1">
        <v>32.200000000000003</v>
      </c>
      <c r="I20" s="3">
        <v>56.6</v>
      </c>
      <c r="J20" s="7">
        <v>1.1000000000000001</v>
      </c>
      <c r="K20" s="4">
        <v>80.5</v>
      </c>
      <c r="L20" s="1">
        <v>3.4</v>
      </c>
      <c r="M20" s="3">
        <v>7.8</v>
      </c>
      <c r="N20" s="7">
        <v>2.6</v>
      </c>
      <c r="O20" s="4">
        <v>472.3</v>
      </c>
      <c r="P20" s="10">
        <v>12</v>
      </c>
    </row>
    <row r="21" spans="1:16" ht="31.7" customHeight="1" x14ac:dyDescent="0.2">
      <c r="A21" s="8">
        <v>2017</v>
      </c>
      <c r="B21" s="6" t="s">
        <v>16</v>
      </c>
      <c r="C21" s="4">
        <v>273.10000000000002</v>
      </c>
      <c r="D21" s="10">
        <v>29.5</v>
      </c>
      <c r="E21" s="3">
        <v>462.4</v>
      </c>
      <c r="F21" s="7">
        <v>28.3</v>
      </c>
      <c r="G21" s="4">
        <v>735.5</v>
      </c>
      <c r="H21" s="1">
        <v>32.9</v>
      </c>
      <c r="I21" s="3">
        <v>59.7</v>
      </c>
      <c r="J21" s="7">
        <v>1.2</v>
      </c>
      <c r="K21" s="4">
        <v>83.9</v>
      </c>
      <c r="L21" s="1">
        <v>3.5</v>
      </c>
      <c r="M21" s="3">
        <v>7.6</v>
      </c>
      <c r="N21" s="7">
        <v>2.5</v>
      </c>
      <c r="O21" s="4">
        <v>480.3</v>
      </c>
      <c r="P21" s="10">
        <v>12</v>
      </c>
    </row>
    <row r="22" spans="1:16" ht="31.7" customHeight="1" x14ac:dyDescent="0.2">
      <c r="A22" s="8">
        <v>2018</v>
      </c>
      <c r="B22" s="6" t="s">
        <v>18</v>
      </c>
      <c r="C22" s="4">
        <v>272.2</v>
      </c>
      <c r="D22" s="10">
        <v>29.6</v>
      </c>
      <c r="E22" s="3">
        <v>463.3</v>
      </c>
      <c r="F22" s="7">
        <v>28.4</v>
      </c>
      <c r="G22" s="4">
        <v>735.5</v>
      </c>
      <c r="H22" s="10">
        <v>33</v>
      </c>
      <c r="I22" s="3">
        <v>59.6</v>
      </c>
      <c r="J22" s="7">
        <v>1.2</v>
      </c>
      <c r="K22" s="4">
        <v>83.7</v>
      </c>
      <c r="L22" s="1">
        <v>3.5</v>
      </c>
      <c r="M22" s="3">
        <v>7.6</v>
      </c>
      <c r="N22" s="7">
        <v>2.5</v>
      </c>
      <c r="O22" s="4">
        <v>489</v>
      </c>
      <c r="P22" s="10">
        <v>12</v>
      </c>
    </row>
    <row r="23" spans="1:16" ht="31.7" customHeight="1" x14ac:dyDescent="0.2">
      <c r="A23" s="8">
        <v>2018</v>
      </c>
      <c r="B23" s="6" t="s">
        <v>3</v>
      </c>
      <c r="C23" s="4">
        <v>276.39999999999998</v>
      </c>
      <c r="D23" s="10">
        <v>29.5</v>
      </c>
      <c r="E23" s="3">
        <v>476.6</v>
      </c>
      <c r="F23" s="7">
        <v>28.3</v>
      </c>
      <c r="G23" s="4">
        <v>753</v>
      </c>
      <c r="H23" s="10">
        <v>32.9</v>
      </c>
      <c r="I23" s="3">
        <v>62.8</v>
      </c>
      <c r="J23" s="7">
        <v>1.2</v>
      </c>
      <c r="K23" s="4">
        <v>87.7</v>
      </c>
      <c r="L23" s="1">
        <v>3.5</v>
      </c>
      <c r="M23" s="3">
        <v>7.6</v>
      </c>
      <c r="N23" s="7">
        <v>2.5</v>
      </c>
      <c r="O23" s="4">
        <v>495.9</v>
      </c>
      <c r="P23" s="10">
        <v>11.9</v>
      </c>
    </row>
    <row r="24" spans="1:16" ht="31.7" customHeight="1" x14ac:dyDescent="0.2">
      <c r="A24" s="8">
        <v>2018</v>
      </c>
      <c r="B24" s="6" t="s">
        <v>15</v>
      </c>
      <c r="C24" s="4">
        <v>274.2</v>
      </c>
      <c r="D24" s="10">
        <v>29.1</v>
      </c>
      <c r="E24" s="3">
        <v>477.8</v>
      </c>
      <c r="F24" s="7">
        <v>28</v>
      </c>
      <c r="G24" s="4">
        <v>752.1</v>
      </c>
      <c r="H24" s="10">
        <v>32.5</v>
      </c>
      <c r="I24" s="3">
        <v>63.9</v>
      </c>
      <c r="J24" s="7">
        <v>1.2</v>
      </c>
      <c r="K24" s="4">
        <v>86.7</v>
      </c>
      <c r="L24" s="1">
        <v>3.4</v>
      </c>
      <c r="M24" s="3">
        <v>7.4</v>
      </c>
      <c r="N24" s="7">
        <v>2.4</v>
      </c>
      <c r="O24" s="4">
        <v>501.9</v>
      </c>
      <c r="P24" s="10">
        <v>11.9</v>
      </c>
    </row>
    <row r="25" spans="1:16" ht="31.7" customHeight="1" x14ac:dyDescent="0.2">
      <c r="A25" s="8">
        <v>2018</v>
      </c>
      <c r="B25" s="6" t="s">
        <v>16</v>
      </c>
      <c r="C25" s="4">
        <v>277.5</v>
      </c>
      <c r="D25" s="10">
        <v>29.6</v>
      </c>
      <c r="E25" s="3">
        <v>489.6</v>
      </c>
      <c r="F25" s="7">
        <v>28.7</v>
      </c>
      <c r="G25" s="4">
        <v>767.1</v>
      </c>
      <c r="H25" s="10">
        <v>33.1</v>
      </c>
      <c r="I25" s="3">
        <v>67</v>
      </c>
      <c r="J25" s="7">
        <v>1.3</v>
      </c>
      <c r="K25" s="4">
        <v>89.9</v>
      </c>
      <c r="L25" s="1">
        <v>3.6</v>
      </c>
      <c r="M25" s="3">
        <v>7.1</v>
      </c>
      <c r="N25" s="7">
        <v>2.2999999999999998</v>
      </c>
      <c r="O25" s="4">
        <v>508</v>
      </c>
      <c r="P25" s="10">
        <v>11.9</v>
      </c>
    </row>
    <row r="26" spans="1:16" ht="31.7" customHeight="1" x14ac:dyDescent="0.2">
      <c r="A26" s="8">
        <v>2019</v>
      </c>
      <c r="B26" s="6" t="s">
        <v>18</v>
      </c>
      <c r="C26" s="4">
        <v>276.8</v>
      </c>
      <c r="D26" s="10">
        <v>29.7</v>
      </c>
      <c r="E26" s="3">
        <v>490.9</v>
      </c>
      <c r="F26" s="7">
        <v>28.8</v>
      </c>
      <c r="G26" s="4">
        <v>767.7</v>
      </c>
      <c r="H26" s="10">
        <v>33.299999999999997</v>
      </c>
      <c r="I26" s="3">
        <v>71.3</v>
      </c>
      <c r="J26" s="7">
        <v>1.5</v>
      </c>
      <c r="K26" s="4">
        <v>89.8</v>
      </c>
      <c r="L26" s="1">
        <v>3.6</v>
      </c>
      <c r="M26" s="3">
        <v>6.9</v>
      </c>
      <c r="N26" s="7">
        <v>2.2000000000000002</v>
      </c>
      <c r="O26" s="4">
        <v>515.6</v>
      </c>
      <c r="P26" s="10">
        <v>11.8</v>
      </c>
    </row>
    <row r="27" spans="1:16" ht="31.7" customHeight="1" x14ac:dyDescent="0.2">
      <c r="A27" s="8">
        <v>2019</v>
      </c>
      <c r="B27" s="6" t="s">
        <v>3</v>
      </c>
      <c r="C27" s="4">
        <v>280</v>
      </c>
      <c r="D27" s="10">
        <v>29.5</v>
      </c>
      <c r="E27" s="3">
        <v>503.5</v>
      </c>
      <c r="F27" s="7">
        <v>28.7</v>
      </c>
      <c r="G27" s="4">
        <v>783.5</v>
      </c>
      <c r="H27" s="10">
        <v>33.1</v>
      </c>
      <c r="I27" s="3">
        <v>70.7</v>
      </c>
      <c r="J27" s="7">
        <v>1.3</v>
      </c>
      <c r="K27" s="4">
        <v>93.9</v>
      </c>
      <c r="L27" s="1">
        <v>3.5</v>
      </c>
      <c r="M27" s="3">
        <v>6.6</v>
      </c>
      <c r="N27" s="7">
        <v>2.2000000000000002</v>
      </c>
      <c r="O27" s="4">
        <v>521.79999999999995</v>
      </c>
      <c r="P27" s="10">
        <v>11.8</v>
      </c>
    </row>
    <row r="28" spans="1:16" ht="31.7" customHeight="1" x14ac:dyDescent="0.2">
      <c r="A28" s="8">
        <v>2019</v>
      </c>
      <c r="B28" s="6" t="s">
        <v>15</v>
      </c>
      <c r="C28" s="4">
        <v>277.39999999999998</v>
      </c>
      <c r="D28" s="10">
        <v>29.1</v>
      </c>
      <c r="E28" s="3">
        <v>504.2</v>
      </c>
      <c r="F28" s="7">
        <v>28.3</v>
      </c>
      <c r="G28" s="4">
        <v>781.6</v>
      </c>
      <c r="H28" s="10">
        <v>32.6</v>
      </c>
      <c r="I28" s="3">
        <v>71.900000000000006</v>
      </c>
      <c r="J28" s="7">
        <v>1.3</v>
      </c>
      <c r="K28" s="4">
        <v>92.9</v>
      </c>
      <c r="L28" s="1">
        <v>3.5</v>
      </c>
      <c r="M28" s="3">
        <v>6.3</v>
      </c>
      <c r="N28" s="7">
        <v>2.1</v>
      </c>
      <c r="O28" s="4">
        <v>528.4</v>
      </c>
      <c r="P28" s="10">
        <v>11.8</v>
      </c>
    </row>
    <row r="29" spans="1:16" ht="31.7" customHeight="1" x14ac:dyDescent="0.2">
      <c r="A29" s="8">
        <v>2019</v>
      </c>
      <c r="B29" s="6" t="s">
        <v>16</v>
      </c>
      <c r="C29" s="4">
        <v>280.7</v>
      </c>
      <c r="D29" s="10">
        <v>29.5</v>
      </c>
      <c r="E29" s="3">
        <v>516</v>
      </c>
      <c r="F29" s="7">
        <v>28.9</v>
      </c>
      <c r="G29" s="4">
        <v>796.7</v>
      </c>
      <c r="H29" s="10">
        <v>33.200000000000003</v>
      </c>
      <c r="I29" s="3">
        <v>75.2</v>
      </c>
      <c r="J29" s="7">
        <v>1.4</v>
      </c>
      <c r="K29" s="4">
        <v>96.1</v>
      </c>
      <c r="L29" s="1">
        <v>3.6</v>
      </c>
      <c r="M29" s="3">
        <v>6.1</v>
      </c>
      <c r="N29" s="7">
        <v>2</v>
      </c>
      <c r="O29" s="4">
        <v>536.1</v>
      </c>
      <c r="P29" s="10">
        <v>11.7</v>
      </c>
    </row>
    <row r="30" spans="1:16" ht="31.7" customHeight="1" x14ac:dyDescent="0.2">
      <c r="A30" s="8">
        <v>2020</v>
      </c>
      <c r="B30" s="6" t="s">
        <v>18</v>
      </c>
      <c r="C30" s="4">
        <v>279.60000000000002</v>
      </c>
      <c r="D30" s="10">
        <v>29.6</v>
      </c>
      <c r="E30" s="3">
        <v>516.29999999999995</v>
      </c>
      <c r="F30" s="7">
        <v>28.9</v>
      </c>
      <c r="G30" s="4">
        <v>795.8</v>
      </c>
      <c r="H30" s="10">
        <v>33.200000000000003</v>
      </c>
      <c r="I30" s="3">
        <v>75.3</v>
      </c>
      <c r="J30" s="7">
        <v>1.4</v>
      </c>
      <c r="K30" s="4">
        <v>95.6</v>
      </c>
      <c r="L30" s="1">
        <v>3.6</v>
      </c>
      <c r="M30" s="3">
        <v>5.9</v>
      </c>
      <c r="N30" s="7">
        <v>1.9</v>
      </c>
      <c r="O30" s="4">
        <v>542.4</v>
      </c>
      <c r="P30" s="10">
        <v>11.7</v>
      </c>
    </row>
    <row r="31" spans="1:16" ht="31.7" customHeight="1" x14ac:dyDescent="0.2">
      <c r="A31" s="18">
        <v>2020</v>
      </c>
      <c r="B31" s="11" t="s">
        <v>3</v>
      </c>
      <c r="C31" s="4">
        <v>282.89999999999998</v>
      </c>
      <c r="D31" s="10">
        <v>29.4</v>
      </c>
      <c r="E31" s="3">
        <v>528.5</v>
      </c>
      <c r="F31" s="7">
        <v>28.8</v>
      </c>
      <c r="G31" s="4">
        <v>811.4</v>
      </c>
      <c r="H31" s="10">
        <v>33</v>
      </c>
      <c r="I31" s="3">
        <v>78.8</v>
      </c>
      <c r="J31" s="7">
        <v>1.4</v>
      </c>
      <c r="K31" s="4">
        <v>99.4</v>
      </c>
      <c r="L31" s="13">
        <v>3.5</v>
      </c>
      <c r="M31" s="3">
        <v>5.6</v>
      </c>
      <c r="N31" s="7">
        <v>1.9</v>
      </c>
      <c r="O31" s="4">
        <v>547.70000000000005</v>
      </c>
      <c r="P31" s="10">
        <v>11.6</v>
      </c>
    </row>
    <row r="32" spans="1:16" ht="29.45" customHeight="1" x14ac:dyDescent="0.2">
      <c r="A32" s="18">
        <v>2020</v>
      </c>
      <c r="B32" s="19" t="s">
        <v>15</v>
      </c>
      <c r="C32" s="20">
        <v>282.3</v>
      </c>
      <c r="D32" s="21">
        <v>29.1</v>
      </c>
      <c r="E32" s="22">
        <v>529.1</v>
      </c>
      <c r="F32" s="23">
        <v>28.6</v>
      </c>
      <c r="G32" s="20">
        <v>811.4</v>
      </c>
      <c r="H32" s="21">
        <v>32.799999999999997</v>
      </c>
      <c r="I32" s="22">
        <v>79.5</v>
      </c>
      <c r="J32" s="23">
        <v>1.4</v>
      </c>
      <c r="K32" s="24">
        <v>98.3</v>
      </c>
      <c r="L32" s="25">
        <v>3.5</v>
      </c>
      <c r="M32" s="22">
        <v>5.4</v>
      </c>
      <c r="N32" s="26">
        <v>1.8</v>
      </c>
      <c r="O32" s="24">
        <v>550.20000000000005</v>
      </c>
      <c r="P32" s="27">
        <v>11.6</v>
      </c>
    </row>
    <row r="33" spans="1:18" ht="29.45" customHeight="1" x14ac:dyDescent="0.2">
      <c r="A33" s="28">
        <v>2020</v>
      </c>
      <c r="B33" s="12" t="s">
        <v>16</v>
      </c>
      <c r="C33" s="14">
        <v>285.7</v>
      </c>
      <c r="D33" s="15">
        <v>29.6</v>
      </c>
      <c r="E33" s="16">
        <v>539.79999999999995</v>
      </c>
      <c r="F33" s="17">
        <v>29.2</v>
      </c>
      <c r="G33" s="14">
        <v>825.5</v>
      </c>
      <c r="H33" s="15">
        <v>33.4</v>
      </c>
      <c r="I33" s="16">
        <v>82.8</v>
      </c>
      <c r="J33" s="17">
        <v>1.5</v>
      </c>
      <c r="K33" s="14">
        <v>100.8</v>
      </c>
      <c r="L33" s="15">
        <v>3.6</v>
      </c>
      <c r="M33" s="16">
        <v>5.2</v>
      </c>
      <c r="N33" s="17">
        <v>1.7</v>
      </c>
      <c r="O33" s="14">
        <v>552.1</v>
      </c>
      <c r="P33" s="15">
        <v>11.5</v>
      </c>
    </row>
    <row r="34" spans="1:18" ht="29.45" customHeight="1" x14ac:dyDescent="0.2">
      <c r="A34" s="28">
        <v>2021</v>
      </c>
      <c r="B34" s="12" t="s">
        <v>18</v>
      </c>
      <c r="C34" s="14">
        <v>285.2</v>
      </c>
      <c r="D34" s="15">
        <v>29.6</v>
      </c>
      <c r="E34" s="16">
        <v>539.4</v>
      </c>
      <c r="F34" s="17">
        <v>29.3</v>
      </c>
      <c r="G34" s="14">
        <v>824.6</v>
      </c>
      <c r="H34" s="15">
        <v>33.5</v>
      </c>
      <c r="I34" s="16">
        <v>82.7</v>
      </c>
      <c r="J34" s="17">
        <v>1.5</v>
      </c>
      <c r="K34" s="14">
        <v>100.3</v>
      </c>
      <c r="L34" s="15">
        <v>3.6</v>
      </c>
      <c r="M34" s="16">
        <v>4.9000000000000004</v>
      </c>
      <c r="N34" s="17">
        <v>1.7</v>
      </c>
      <c r="O34" s="14">
        <v>552.6</v>
      </c>
      <c r="P34" s="15">
        <v>11.5</v>
      </c>
    </row>
    <row r="35" spans="1:18" ht="29.45" customHeight="1" x14ac:dyDescent="0.2">
      <c r="A35" s="28">
        <v>2021</v>
      </c>
      <c r="B35" s="12" t="s">
        <v>3</v>
      </c>
      <c r="C35" s="36">
        <v>289.8</v>
      </c>
      <c r="D35" s="37">
        <v>29.6</v>
      </c>
      <c r="E35" s="34">
        <v>552.70000000000005</v>
      </c>
      <c r="F35" s="35">
        <v>29.4</v>
      </c>
      <c r="G35" s="36">
        <v>842.5</v>
      </c>
      <c r="H35" s="37">
        <v>33.6</v>
      </c>
      <c r="I35" s="16">
        <v>86.3</v>
      </c>
      <c r="J35" s="33">
        <v>1.5</v>
      </c>
      <c r="K35" s="14">
        <v>103.6</v>
      </c>
      <c r="L35" s="32">
        <v>3.6</v>
      </c>
      <c r="M35" s="16">
        <v>4.7</v>
      </c>
      <c r="N35" s="33">
        <v>1.6</v>
      </c>
      <c r="O35" s="14">
        <v>554.70000000000005</v>
      </c>
      <c r="P35" s="32">
        <v>11.4</v>
      </c>
    </row>
    <row r="36" spans="1:18" ht="29.45" customHeight="1" x14ac:dyDescent="0.2">
      <c r="A36" s="18">
        <v>2021</v>
      </c>
      <c r="B36" s="19" t="s">
        <v>15</v>
      </c>
      <c r="C36" s="41">
        <v>288.7</v>
      </c>
      <c r="D36" s="42">
        <v>29.5</v>
      </c>
      <c r="E36" s="43">
        <v>553.5</v>
      </c>
      <c r="F36" s="44">
        <v>29.3</v>
      </c>
      <c r="G36" s="20">
        <v>842.2</v>
      </c>
      <c r="H36" s="40">
        <v>33.5</v>
      </c>
      <c r="I36" s="43">
        <v>87.3</v>
      </c>
      <c r="J36" s="45">
        <v>1.5</v>
      </c>
      <c r="K36" s="41">
        <v>102.8</v>
      </c>
      <c r="L36" s="25">
        <v>3.6</v>
      </c>
      <c r="M36" s="43">
        <v>4.3</v>
      </c>
      <c r="N36" s="45">
        <v>1.6</v>
      </c>
      <c r="O36" s="41">
        <v>554.5</v>
      </c>
      <c r="P36" s="25">
        <v>11.3</v>
      </c>
    </row>
    <row r="37" spans="1:18" ht="29.45" customHeight="1" x14ac:dyDescent="0.2">
      <c r="A37" s="28">
        <v>2021</v>
      </c>
      <c r="B37" s="12" t="s">
        <v>16</v>
      </c>
      <c r="C37" s="36">
        <v>291.5</v>
      </c>
      <c r="D37" s="39">
        <v>30</v>
      </c>
      <c r="E37" s="34">
        <v>563.5</v>
      </c>
      <c r="F37" s="38">
        <v>30</v>
      </c>
      <c r="G37" s="36">
        <v>855</v>
      </c>
      <c r="H37" s="39">
        <v>34.200000000000003</v>
      </c>
      <c r="I37" s="34">
        <v>90.7</v>
      </c>
      <c r="J37" s="38">
        <v>1.6</v>
      </c>
      <c r="K37" s="36">
        <v>105.4</v>
      </c>
      <c r="L37" s="39">
        <v>3.7</v>
      </c>
      <c r="M37" s="34">
        <v>4.4000000000000004</v>
      </c>
      <c r="N37" s="38">
        <v>1.5</v>
      </c>
      <c r="O37" s="36">
        <v>555.1</v>
      </c>
      <c r="P37" s="39">
        <v>11.3</v>
      </c>
    </row>
    <row r="38" spans="1:18" ht="29.45" customHeight="1" x14ac:dyDescent="0.2">
      <c r="A38" s="28">
        <v>2022</v>
      </c>
      <c r="B38" s="12" t="s">
        <v>18</v>
      </c>
      <c r="C38" s="14">
        <v>290.89999999999998</v>
      </c>
      <c r="D38" s="15">
        <v>30.1</v>
      </c>
      <c r="E38" s="16">
        <v>562.5</v>
      </c>
      <c r="F38" s="17">
        <v>30.1</v>
      </c>
      <c r="G38" s="14">
        <v>853.4</v>
      </c>
      <c r="H38" s="15">
        <v>34.299999999999997</v>
      </c>
      <c r="I38" s="16">
        <v>90.6</v>
      </c>
      <c r="J38" s="17">
        <v>1.6</v>
      </c>
      <c r="K38" s="14">
        <v>104.8</v>
      </c>
      <c r="L38" s="15">
        <v>3.7</v>
      </c>
      <c r="M38" s="16">
        <v>4.2</v>
      </c>
      <c r="N38" s="17">
        <v>1.5</v>
      </c>
      <c r="O38" s="14">
        <v>553.29999999999995</v>
      </c>
      <c r="P38" s="15">
        <v>11.2</v>
      </c>
    </row>
    <row r="39" spans="1:18" ht="29.45" customHeight="1" x14ac:dyDescent="0.2">
      <c r="A39" s="28">
        <v>2022</v>
      </c>
      <c r="B39" s="12" t="s">
        <v>3</v>
      </c>
      <c r="C39" s="14">
        <v>293.10000000000002</v>
      </c>
      <c r="D39" s="15">
        <v>29.8</v>
      </c>
      <c r="E39" s="16">
        <v>571.9</v>
      </c>
      <c r="F39" s="17">
        <v>29.9</v>
      </c>
      <c r="G39" s="14">
        <v>864.9</v>
      </c>
      <c r="H39" s="15">
        <v>34</v>
      </c>
      <c r="I39" s="16">
        <v>94</v>
      </c>
      <c r="J39" s="17">
        <v>1.6</v>
      </c>
      <c r="K39" s="14">
        <v>107.3</v>
      </c>
      <c r="L39" s="15">
        <v>3.6</v>
      </c>
      <c r="M39" s="16">
        <v>4.2</v>
      </c>
      <c r="N39" s="17">
        <v>1.4</v>
      </c>
      <c r="O39" s="14">
        <v>549.20000000000005</v>
      </c>
      <c r="P39" s="15">
        <v>11</v>
      </c>
    </row>
    <row r="40" spans="1:18" ht="29.45" customHeight="1" x14ac:dyDescent="0.2">
      <c r="A40" s="28">
        <v>2022</v>
      </c>
      <c r="B40" s="12" t="s">
        <v>15</v>
      </c>
      <c r="C40" s="14">
        <v>291.89999999999998</v>
      </c>
      <c r="D40" s="15">
        <v>29.7</v>
      </c>
      <c r="E40" s="16">
        <v>571.5</v>
      </c>
      <c r="F40" s="17">
        <v>29.8</v>
      </c>
      <c r="G40" s="14">
        <v>863.3</v>
      </c>
      <c r="H40" s="15">
        <v>33.9</v>
      </c>
      <c r="I40" s="16">
        <v>94.9</v>
      </c>
      <c r="J40" s="17">
        <v>1.6</v>
      </c>
      <c r="K40" s="14">
        <v>106.3</v>
      </c>
      <c r="L40" s="15">
        <v>3.6</v>
      </c>
      <c r="M40" s="16">
        <v>4</v>
      </c>
      <c r="N40" s="17">
        <v>1.3</v>
      </c>
      <c r="O40" s="14">
        <v>548.70000000000005</v>
      </c>
      <c r="P40" s="15">
        <v>10.9</v>
      </c>
    </row>
    <row r="41" spans="1:18" ht="29.45" customHeight="1" x14ac:dyDescent="0.2">
      <c r="A41" s="28">
        <v>2022</v>
      </c>
      <c r="B41" s="12" t="s">
        <v>16</v>
      </c>
      <c r="C41" s="14">
        <v>294.3</v>
      </c>
      <c r="D41" s="15">
        <v>30.2</v>
      </c>
      <c r="E41" s="16">
        <v>579.29999999999995</v>
      </c>
      <c r="F41" s="17">
        <v>30.5</v>
      </c>
      <c r="G41" s="14">
        <v>873.6</v>
      </c>
      <c r="H41" s="15">
        <v>34.6</v>
      </c>
      <c r="I41" s="16">
        <v>97.9</v>
      </c>
      <c r="J41" s="17">
        <v>1.7</v>
      </c>
      <c r="K41" s="14">
        <v>108.5</v>
      </c>
      <c r="L41" s="15">
        <v>3.7</v>
      </c>
      <c r="M41" s="16">
        <v>3.9</v>
      </c>
      <c r="N41" s="17">
        <v>1.3</v>
      </c>
      <c r="O41" s="14">
        <v>550.6</v>
      </c>
      <c r="P41" s="15">
        <v>10.9</v>
      </c>
    </row>
    <row r="42" spans="1:18" ht="29.45" customHeight="1" x14ac:dyDescent="0.2">
      <c r="A42" s="28">
        <v>2023</v>
      </c>
      <c r="B42" s="12" t="s">
        <v>18</v>
      </c>
      <c r="C42" s="14">
        <v>293</v>
      </c>
      <c r="D42" s="15">
        <v>30.4</v>
      </c>
      <c r="E42" s="16">
        <v>574.1</v>
      </c>
      <c r="F42" s="17">
        <v>30.7</v>
      </c>
      <c r="G42" s="14">
        <v>867.1</v>
      </c>
      <c r="H42" s="15">
        <v>34.799999999999997</v>
      </c>
      <c r="I42" s="16">
        <v>96.7</v>
      </c>
      <c r="J42" s="17">
        <v>1.7</v>
      </c>
      <c r="K42" s="14">
        <v>107.6</v>
      </c>
      <c r="L42" s="15">
        <v>3.7</v>
      </c>
      <c r="M42" s="16">
        <v>3.8</v>
      </c>
      <c r="N42" s="17">
        <v>1.3</v>
      </c>
      <c r="O42" s="14">
        <v>560.29999999999995</v>
      </c>
      <c r="P42" s="15">
        <v>11</v>
      </c>
    </row>
    <row r="43" spans="1:18" ht="29.45" customHeight="1" x14ac:dyDescent="0.2">
      <c r="A43" s="28">
        <v>2023</v>
      </c>
      <c r="B43" s="12" t="s">
        <v>3</v>
      </c>
      <c r="C43" s="14">
        <v>296.2</v>
      </c>
      <c r="D43" s="15">
        <v>30.3</v>
      </c>
      <c r="E43" s="16">
        <v>584.9</v>
      </c>
      <c r="F43" s="17">
        <v>30.7</v>
      </c>
      <c r="G43" s="14">
        <v>881.1</v>
      </c>
      <c r="H43" s="15">
        <v>34.9</v>
      </c>
      <c r="I43" s="16">
        <v>100.7</v>
      </c>
      <c r="J43" s="17">
        <v>1.7</v>
      </c>
      <c r="K43" s="14">
        <v>111.7</v>
      </c>
      <c r="L43" s="15">
        <v>3.7</v>
      </c>
      <c r="M43" s="16">
        <v>3.7</v>
      </c>
      <c r="N43" s="17">
        <v>1.2</v>
      </c>
      <c r="O43" s="14">
        <v>547.29999999999995</v>
      </c>
      <c r="P43" s="15">
        <v>10.7</v>
      </c>
    </row>
    <row r="44" spans="1:18" ht="29.45" customHeight="1" x14ac:dyDescent="0.2">
      <c r="A44" s="28">
        <v>2023</v>
      </c>
      <c r="B44" s="12" t="s">
        <v>15</v>
      </c>
      <c r="C44" s="14">
        <v>295.39999999999998</v>
      </c>
      <c r="D44" s="15">
        <v>30.3</v>
      </c>
      <c r="E44" s="16">
        <v>585.4</v>
      </c>
      <c r="F44" s="17">
        <v>30.7</v>
      </c>
      <c r="G44" s="14">
        <v>880.8</v>
      </c>
      <c r="H44" s="15">
        <v>34.799999999999997</v>
      </c>
      <c r="I44" s="16">
        <v>101.9</v>
      </c>
      <c r="J44" s="17">
        <v>1.7</v>
      </c>
      <c r="K44" s="14">
        <v>111.3</v>
      </c>
      <c r="L44" s="15">
        <v>3.7</v>
      </c>
      <c r="M44" s="16">
        <v>3.7</v>
      </c>
      <c r="N44" s="17">
        <v>1.2</v>
      </c>
      <c r="O44" s="14">
        <v>536.20000000000005</v>
      </c>
      <c r="P44" s="15">
        <v>10.5</v>
      </c>
    </row>
    <row r="45" spans="1:18" ht="29.45" customHeight="1" x14ac:dyDescent="0.2">
      <c r="A45" s="28">
        <v>2023</v>
      </c>
      <c r="B45" s="12" t="s">
        <v>16</v>
      </c>
      <c r="C45" s="14">
        <v>295.60000000000002</v>
      </c>
      <c r="D45" s="15">
        <v>30.6</v>
      </c>
      <c r="E45" s="16">
        <v>588.5</v>
      </c>
      <c r="F45" s="17">
        <v>31.1</v>
      </c>
      <c r="G45" s="14">
        <v>884.1</v>
      </c>
      <c r="H45" s="15">
        <v>35.200000000000003</v>
      </c>
      <c r="I45" s="16">
        <v>104</v>
      </c>
      <c r="J45" s="17">
        <v>1.8</v>
      </c>
      <c r="K45" s="14">
        <v>112.2</v>
      </c>
      <c r="L45" s="15">
        <v>3.8</v>
      </c>
      <c r="M45" s="16">
        <v>3.6</v>
      </c>
      <c r="N45" s="17">
        <v>1.2</v>
      </c>
      <c r="O45" s="14">
        <v>498.3</v>
      </c>
      <c r="P45" s="15">
        <v>9.8000000000000007</v>
      </c>
      <c r="Q45" s="46"/>
      <c r="R45" s="47"/>
    </row>
    <row r="46" spans="1:18" ht="29.45" customHeight="1" x14ac:dyDescent="0.2">
      <c r="A46" s="28">
        <v>2024</v>
      </c>
      <c r="B46" s="12" t="s">
        <v>18</v>
      </c>
      <c r="C46" s="14">
        <v>293.3</v>
      </c>
      <c r="D46" s="15">
        <v>30.5</v>
      </c>
      <c r="E46" s="16">
        <v>585.20000000000005</v>
      </c>
      <c r="F46" s="17">
        <v>31</v>
      </c>
      <c r="G46" s="14">
        <v>878.5</v>
      </c>
      <c r="H46" s="15">
        <v>35.1</v>
      </c>
      <c r="I46" s="16">
        <v>103.4</v>
      </c>
      <c r="J46" s="17">
        <v>1.8</v>
      </c>
      <c r="K46" s="14">
        <v>107.2</v>
      </c>
      <c r="L46" s="15">
        <v>3.7</v>
      </c>
      <c r="M46" s="16">
        <v>3.5</v>
      </c>
      <c r="N46" s="17">
        <v>1.1000000000000001</v>
      </c>
      <c r="O46" s="14">
        <v>505.9</v>
      </c>
      <c r="P46" s="15">
        <v>9.8000000000000007</v>
      </c>
      <c r="Q46" s="46"/>
      <c r="R46" s="47"/>
    </row>
    <row r="47" spans="1:18" ht="29.45" customHeight="1" x14ac:dyDescent="0.2">
      <c r="A47" s="28">
        <v>2024</v>
      </c>
      <c r="B47" s="12" t="s">
        <v>3</v>
      </c>
      <c r="C47" s="14">
        <v>295.39999999999998</v>
      </c>
      <c r="D47" s="15">
        <v>30.2</v>
      </c>
      <c r="E47" s="16">
        <v>594.9</v>
      </c>
      <c r="F47" s="17">
        <v>30.7</v>
      </c>
      <c r="G47" s="14">
        <v>890.3</v>
      </c>
      <c r="H47" s="15">
        <v>34.799999999999997</v>
      </c>
      <c r="I47" s="16">
        <v>107.5</v>
      </c>
      <c r="J47" s="17">
        <v>1.8</v>
      </c>
      <c r="K47" s="14">
        <v>109.8</v>
      </c>
      <c r="L47" s="15">
        <v>3.6</v>
      </c>
      <c r="M47" s="16">
        <v>3.4</v>
      </c>
      <c r="N47" s="17">
        <v>1.1000000000000001</v>
      </c>
      <c r="O47" s="14">
        <v>509.2</v>
      </c>
      <c r="P47" s="15">
        <v>9.6999999999999993</v>
      </c>
      <c r="Q47" s="46"/>
      <c r="R47" s="47"/>
    </row>
    <row r="48" spans="1:18" ht="29.45" customHeight="1" x14ac:dyDescent="0.2">
      <c r="A48" s="28">
        <v>2024</v>
      </c>
      <c r="B48" s="12" t="s">
        <v>15</v>
      </c>
      <c r="C48" s="14">
        <v>291.8</v>
      </c>
      <c r="D48" s="15">
        <v>29.8</v>
      </c>
      <c r="E48" s="16">
        <v>590.79999999999995</v>
      </c>
      <c r="F48" s="17">
        <v>30.4</v>
      </c>
      <c r="G48" s="14">
        <v>882.6</v>
      </c>
      <c r="H48" s="15">
        <v>34.4</v>
      </c>
      <c r="I48" s="16">
        <v>107.7</v>
      </c>
      <c r="J48" s="17">
        <v>1.7</v>
      </c>
      <c r="K48" s="14">
        <v>107.1</v>
      </c>
      <c r="L48" s="15">
        <v>3.5</v>
      </c>
      <c r="M48" s="16">
        <v>3.3</v>
      </c>
      <c r="N48" s="17">
        <v>1.1000000000000001</v>
      </c>
      <c r="O48" s="14">
        <v>510.3</v>
      </c>
      <c r="P48" s="15">
        <v>9.5</v>
      </c>
      <c r="Q48" s="46"/>
      <c r="R48" s="47"/>
    </row>
    <row r="49" spans="1:17" ht="29.45" customHeight="1" x14ac:dyDescent="0.2">
      <c r="A49" s="28">
        <v>2024</v>
      </c>
      <c r="B49" s="12" t="s">
        <v>16</v>
      </c>
      <c r="C49" s="14">
        <v>294.39999999999998</v>
      </c>
      <c r="D49" s="15">
        <v>30.2</v>
      </c>
      <c r="E49" s="16">
        <v>601.5</v>
      </c>
      <c r="F49" s="17">
        <v>30.9</v>
      </c>
      <c r="G49" s="14">
        <v>895.9</v>
      </c>
      <c r="H49" s="15">
        <v>34.9</v>
      </c>
      <c r="I49" s="16">
        <v>112.1</v>
      </c>
      <c r="J49" s="17">
        <v>1.8</v>
      </c>
      <c r="K49" s="14">
        <v>110.3</v>
      </c>
      <c r="L49" s="15">
        <v>3.6</v>
      </c>
      <c r="M49" s="16">
        <v>3.2</v>
      </c>
      <c r="N49" s="17">
        <v>1</v>
      </c>
      <c r="O49" s="14">
        <v>517.20000000000005</v>
      </c>
      <c r="P49" s="15">
        <v>9.5</v>
      </c>
      <c r="Q49" s="46"/>
    </row>
    <row r="50" spans="1:17" ht="18" customHeight="1" x14ac:dyDescent="0.2">
      <c r="E50" s="46"/>
    </row>
    <row r="51" spans="1:17" ht="28.5" customHeight="1" x14ac:dyDescent="0.2">
      <c r="A51" s="29" t="s">
        <v>11</v>
      </c>
      <c r="B51" s="29"/>
      <c r="C51" s="29"/>
      <c r="D51" s="29"/>
      <c r="E51" s="29"/>
      <c r="F51" s="29"/>
      <c r="G51" s="29"/>
      <c r="H51" s="29"/>
      <c r="I51" s="29"/>
      <c r="J51" s="29"/>
    </row>
    <row r="52" spans="1:17" ht="13.7" customHeight="1" x14ac:dyDescent="0.2">
      <c r="A52" s="114" t="s">
        <v>14</v>
      </c>
      <c r="B52" s="114"/>
      <c r="C52" s="114"/>
      <c r="D52" s="114"/>
      <c r="E52" s="114"/>
      <c r="F52" s="114"/>
      <c r="G52" s="114"/>
      <c r="H52" s="114"/>
      <c r="I52" s="114"/>
      <c r="J52" s="114"/>
      <c r="K52" s="114"/>
      <c r="L52" s="114"/>
      <c r="M52" s="114"/>
      <c r="N52" s="114"/>
      <c r="O52" s="114"/>
      <c r="P52" s="114"/>
    </row>
    <row r="53" spans="1:17" ht="13.7" customHeight="1" x14ac:dyDescent="0.2">
      <c r="A53" s="114" t="s">
        <v>12</v>
      </c>
      <c r="B53" s="114"/>
      <c r="C53" s="114"/>
      <c r="D53" s="114"/>
      <c r="E53" s="114"/>
      <c r="F53" s="114"/>
      <c r="G53" s="114"/>
      <c r="H53" s="114"/>
      <c r="I53" s="114"/>
      <c r="J53" s="114"/>
      <c r="K53" s="114"/>
      <c r="L53" s="114"/>
      <c r="M53" s="114"/>
      <c r="N53" s="114"/>
      <c r="O53" s="114"/>
      <c r="P53" s="114"/>
    </row>
    <row r="54" spans="1:17" ht="28.5" customHeight="1" x14ac:dyDescent="0.2">
      <c r="A54" s="114" t="s">
        <v>13</v>
      </c>
      <c r="B54" s="114"/>
      <c r="C54" s="114"/>
      <c r="D54" s="114"/>
      <c r="E54" s="114"/>
      <c r="F54" s="114"/>
      <c r="G54" s="114"/>
      <c r="H54" s="114"/>
      <c r="I54" s="114"/>
      <c r="J54" s="114"/>
      <c r="K54" s="114"/>
      <c r="L54" s="114"/>
      <c r="M54" s="114"/>
      <c r="N54" s="114"/>
      <c r="O54" s="114"/>
      <c r="P54" s="114"/>
    </row>
    <row r="55" spans="1:17" ht="15" x14ac:dyDescent="0.2">
      <c r="A55" s="114" t="s">
        <v>17</v>
      </c>
      <c r="B55" s="114"/>
      <c r="C55" s="114"/>
      <c r="D55" s="114"/>
      <c r="E55" s="114"/>
      <c r="F55" s="114"/>
      <c r="G55" s="114"/>
      <c r="H55" s="114"/>
      <c r="I55" s="114"/>
      <c r="J55" s="114"/>
      <c r="K55" s="114"/>
      <c r="L55" s="114"/>
      <c r="M55" s="114"/>
      <c r="N55" s="114"/>
      <c r="O55" s="114"/>
      <c r="P55" s="114"/>
    </row>
    <row r="59" spans="1:17" x14ac:dyDescent="0.2">
      <c r="C59" s="9"/>
      <c r="D59" s="9"/>
      <c r="E59" s="9"/>
    </row>
    <row r="60" spans="1:17" x14ac:dyDescent="0.2">
      <c r="F60" s="9"/>
      <c r="G60" s="9"/>
      <c r="H60" s="9"/>
    </row>
    <row r="61" spans="1:17" x14ac:dyDescent="0.2">
      <c r="C61" s="9"/>
      <c r="D61" s="9"/>
      <c r="E61" s="9"/>
    </row>
  </sheetData>
  <mergeCells count="14">
    <mergeCell ref="A55:P55"/>
    <mergeCell ref="A1:P1"/>
    <mergeCell ref="A2:P2"/>
    <mergeCell ref="A3:P3"/>
    <mergeCell ref="A52:P52"/>
    <mergeCell ref="O5:P5"/>
    <mergeCell ref="C5:D5"/>
    <mergeCell ref="E5:F5"/>
    <mergeCell ref="G5:H5"/>
    <mergeCell ref="I5:J5"/>
    <mergeCell ref="K5:L5"/>
    <mergeCell ref="M5:N5"/>
    <mergeCell ref="A53:P53"/>
    <mergeCell ref="A54:P54"/>
  </mergeCells>
  <pageMargins left="0.7" right="0.7" top="0.75" bottom="0.75" header="0.3" footer="0.3"/>
  <pageSetup scale="56"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833D2-101F-4C11-B0B0-FAA597D748FB}">
  <dimension ref="A1:AG49"/>
  <sheetViews>
    <sheetView zoomScaleNormal="100" workbookViewId="0">
      <selection activeCell="E2" sqref="E2"/>
    </sheetView>
  </sheetViews>
  <sheetFormatPr defaultRowHeight="12.75" x14ac:dyDescent="0.2"/>
  <cols>
    <col min="2" max="4" width="11.5703125" customWidth="1"/>
    <col min="5" max="5" width="9.42578125" style="54" customWidth="1"/>
    <col min="6" max="6" width="12.42578125" style="55" bestFit="1" customWidth="1"/>
    <col min="7" max="7" width="14.28515625" customWidth="1"/>
    <col min="8" max="8" width="9.42578125" style="54" customWidth="1"/>
    <col min="9" max="9" width="11.5703125" style="55" bestFit="1" customWidth="1"/>
    <col min="10" max="10" width="12" bestFit="1" customWidth="1"/>
    <col min="11" max="11" width="11.5703125" style="54" customWidth="1"/>
    <col min="12" max="12" width="11.5703125" style="55" customWidth="1"/>
    <col min="13" max="13" width="11.5703125" customWidth="1"/>
    <col min="14" max="14" width="12.7109375" style="54" customWidth="1"/>
    <col min="15" max="15" width="12.7109375" style="55" customWidth="1"/>
    <col min="16" max="16" width="12.7109375" customWidth="1"/>
    <col min="17" max="17" width="12.7109375" style="54" customWidth="1"/>
    <col min="18" max="18" width="12.7109375" style="55" customWidth="1"/>
    <col min="19" max="19" width="12.7109375" customWidth="1"/>
    <col min="20" max="20" width="12.7109375" style="54" customWidth="1"/>
    <col min="21" max="21" width="12.7109375" style="55" customWidth="1"/>
    <col min="22" max="22" width="15" customWidth="1"/>
    <col min="23" max="23" width="15" style="53" hidden="1" customWidth="1"/>
    <col min="24" max="24" width="11.42578125" style="54" bestFit="1" customWidth="1"/>
    <col min="25" max="25" width="12.28515625" style="55" customWidth="1"/>
    <col min="26" max="26" width="17.7109375" customWidth="1"/>
    <col min="27" max="27" width="11.140625" style="55" customWidth="1"/>
    <col min="28" max="28" width="18.7109375" customWidth="1"/>
    <col min="29" max="29" width="18" customWidth="1"/>
    <col min="30" max="30" width="11.28515625" customWidth="1"/>
    <col min="31" max="31" width="12.5703125" customWidth="1"/>
    <col min="33" max="33" width="11.7109375" customWidth="1"/>
  </cols>
  <sheetData>
    <row r="1" spans="1:25" x14ac:dyDescent="0.2">
      <c r="A1" s="50" t="s">
        <v>65</v>
      </c>
    </row>
    <row r="3" spans="1:25" x14ac:dyDescent="0.2">
      <c r="A3" s="50" t="s">
        <v>96</v>
      </c>
    </row>
    <row r="5" spans="1:25" ht="63.75" customHeight="1" x14ac:dyDescent="0.2">
      <c r="B5" s="59" t="s">
        <v>45</v>
      </c>
      <c r="C5" s="59" t="s">
        <v>22</v>
      </c>
      <c r="D5" s="59" t="s">
        <v>38</v>
      </c>
      <c r="E5" s="60" t="s">
        <v>25</v>
      </c>
      <c r="F5" s="64" t="s">
        <v>23</v>
      </c>
      <c r="G5" s="59" t="s">
        <v>39</v>
      </c>
      <c r="H5" s="60" t="s">
        <v>26</v>
      </c>
      <c r="I5" s="64" t="s">
        <v>24</v>
      </c>
      <c r="J5" s="59" t="s">
        <v>40</v>
      </c>
      <c r="K5" s="60" t="s">
        <v>27</v>
      </c>
      <c r="L5" s="64" t="s">
        <v>28</v>
      </c>
      <c r="M5" s="59" t="s">
        <v>41</v>
      </c>
      <c r="N5" s="60" t="s">
        <v>29</v>
      </c>
      <c r="O5" s="64" t="s">
        <v>30</v>
      </c>
      <c r="P5" s="59" t="s">
        <v>42</v>
      </c>
      <c r="Q5" s="60" t="s">
        <v>31</v>
      </c>
      <c r="R5" s="64" t="s">
        <v>32</v>
      </c>
      <c r="S5" s="59" t="s">
        <v>43</v>
      </c>
      <c r="T5" s="60" t="s">
        <v>33</v>
      </c>
      <c r="U5" s="64" t="s">
        <v>34</v>
      </c>
      <c r="V5" s="59" t="s">
        <v>44</v>
      </c>
      <c r="W5" s="62" t="s">
        <v>21</v>
      </c>
      <c r="X5" s="63" t="s">
        <v>35</v>
      </c>
      <c r="Y5" s="66" t="s">
        <v>36</v>
      </c>
    </row>
    <row r="6" spans="1:25" ht="15.75" x14ac:dyDescent="0.2">
      <c r="B6" s="57">
        <v>2015</v>
      </c>
      <c r="C6" s="11" t="s">
        <v>18</v>
      </c>
      <c r="D6" s="10">
        <v>28.9</v>
      </c>
      <c r="E6" s="61">
        <f t="shared" ref="E6:E45" ca="1" si="0">AVERAGE(OFFSET(D6,,,4*-1))</f>
        <v>28.9</v>
      </c>
      <c r="F6" s="65"/>
      <c r="G6" s="10">
        <v>26.6</v>
      </c>
      <c r="H6" s="61">
        <f t="shared" ref="H6:H45" ca="1" si="1">AVERAGE(OFFSET(G6,,,4*-1))</f>
        <v>26.6</v>
      </c>
      <c r="I6" s="65"/>
      <c r="J6" s="1">
        <v>31.7</v>
      </c>
      <c r="K6" s="61">
        <f t="shared" ref="K6:K45" ca="1" si="2">AVERAGE(OFFSET(J6,,,4*-1))</f>
        <v>31.7</v>
      </c>
      <c r="L6" s="65"/>
      <c r="M6" s="10">
        <v>1</v>
      </c>
      <c r="N6" s="61">
        <f t="shared" ref="N6:N45" ca="1" si="3">AVERAGE(OFFSET(M6,,,4*-1))</f>
        <v>1</v>
      </c>
      <c r="O6" s="65"/>
      <c r="P6" s="1">
        <v>3.2</v>
      </c>
      <c r="Q6" s="61">
        <f t="shared" ref="Q6:Q45" ca="1" si="4">AVERAGE(OFFSET(P6,,,4*-1))</f>
        <v>3.2</v>
      </c>
      <c r="R6" s="65"/>
      <c r="S6" s="10">
        <v>3</v>
      </c>
      <c r="T6" s="61">
        <f t="shared" ref="T6:T45" ca="1" si="5">AVERAGE(OFFSET(S6,,,4*-1))</f>
        <v>3</v>
      </c>
      <c r="U6" s="65"/>
      <c r="V6" s="1">
        <v>11.9</v>
      </c>
      <c r="W6" s="53" t="e">
        <v>#N/A</v>
      </c>
      <c r="X6" s="61">
        <f t="shared" ref="X6:X45" ca="1" si="6">AVERAGE(OFFSET(V6,,,4*-1))</f>
        <v>11.9</v>
      </c>
      <c r="Y6" s="65"/>
    </row>
    <row r="7" spans="1:25" ht="15.75" x14ac:dyDescent="0.2">
      <c r="B7" s="57">
        <v>2015</v>
      </c>
      <c r="C7" s="11" t="s">
        <v>3</v>
      </c>
      <c r="D7" s="10">
        <v>28.8</v>
      </c>
      <c r="E7" s="61">
        <f t="shared" ca="1" si="0"/>
        <v>28.85</v>
      </c>
      <c r="F7" s="65"/>
      <c r="G7" s="10">
        <v>26.5</v>
      </c>
      <c r="H7" s="61">
        <f t="shared" ca="1" si="1"/>
        <v>26.55</v>
      </c>
      <c r="I7" s="65"/>
      <c r="J7" s="1">
        <v>31.5</v>
      </c>
      <c r="K7" s="61">
        <f t="shared" ca="1" si="2"/>
        <v>31.6</v>
      </c>
      <c r="L7" s="65"/>
      <c r="M7" s="10">
        <v>1</v>
      </c>
      <c r="N7" s="61">
        <f t="shared" ca="1" si="3"/>
        <v>1</v>
      </c>
      <c r="O7" s="65"/>
      <c r="P7" s="1">
        <v>3.2</v>
      </c>
      <c r="Q7" s="61">
        <f t="shared" ca="1" si="4"/>
        <v>3.2</v>
      </c>
      <c r="R7" s="65"/>
      <c r="S7" s="10">
        <v>2.9</v>
      </c>
      <c r="T7" s="61">
        <f t="shared" ca="1" si="5"/>
        <v>2.95</v>
      </c>
      <c r="U7" s="65"/>
      <c r="V7" s="1">
        <v>11.9</v>
      </c>
      <c r="W7" s="53" t="e">
        <v>#N/A</v>
      </c>
      <c r="X7" s="61">
        <f t="shared" ca="1" si="6"/>
        <v>11.9</v>
      </c>
      <c r="Y7" s="65"/>
    </row>
    <row r="8" spans="1:25" ht="15.75" x14ac:dyDescent="0.2">
      <c r="B8" s="57">
        <v>2015</v>
      </c>
      <c r="C8" s="11" t="s">
        <v>15</v>
      </c>
      <c r="D8" s="10">
        <v>28.5</v>
      </c>
      <c r="E8" s="61">
        <f t="shared" ca="1" si="0"/>
        <v>28.733333333333334</v>
      </c>
      <c r="F8" s="65"/>
      <c r="G8" s="10">
        <v>26.4</v>
      </c>
      <c r="H8" s="61">
        <f t="shared" ca="1" si="1"/>
        <v>26.5</v>
      </c>
      <c r="I8" s="65"/>
      <c r="J8" s="1">
        <v>31.3</v>
      </c>
      <c r="K8" s="61">
        <f t="shared" ca="1" si="2"/>
        <v>31.5</v>
      </c>
      <c r="L8" s="65"/>
      <c r="M8" s="10">
        <v>1</v>
      </c>
      <c r="N8" s="61">
        <f t="shared" ca="1" si="3"/>
        <v>1</v>
      </c>
      <c r="O8" s="65"/>
      <c r="P8" s="1">
        <v>3.1</v>
      </c>
      <c r="Q8" s="61">
        <f t="shared" ca="1" si="4"/>
        <v>3.1666666666666665</v>
      </c>
      <c r="R8" s="65"/>
      <c r="S8" s="10">
        <v>2.9</v>
      </c>
      <c r="T8" s="61">
        <f t="shared" ca="1" si="5"/>
        <v>2.9333333333333336</v>
      </c>
      <c r="U8" s="65"/>
      <c r="V8" s="1">
        <v>11.9</v>
      </c>
      <c r="W8" s="53" t="e">
        <v>#N/A</v>
      </c>
      <c r="X8" s="61">
        <f t="shared" ca="1" si="6"/>
        <v>11.9</v>
      </c>
      <c r="Y8" s="65"/>
    </row>
    <row r="9" spans="1:25" ht="15.75" x14ac:dyDescent="0.2">
      <c r="B9" s="57">
        <v>2015</v>
      </c>
      <c r="C9" s="11" t="s">
        <v>16</v>
      </c>
      <c r="D9" s="10">
        <v>29.1</v>
      </c>
      <c r="E9" s="61">
        <f t="shared" ca="1" si="0"/>
        <v>28.825000000000003</v>
      </c>
      <c r="F9" s="65"/>
      <c r="G9" s="10">
        <v>27.1</v>
      </c>
      <c r="H9" s="61">
        <f t="shared" ca="1" si="1"/>
        <v>26.65</v>
      </c>
      <c r="I9" s="65"/>
      <c r="J9" s="1">
        <v>32.1</v>
      </c>
      <c r="K9" s="61">
        <f t="shared" ca="1" si="2"/>
        <v>31.65</v>
      </c>
      <c r="L9" s="65"/>
      <c r="M9" s="10">
        <v>1</v>
      </c>
      <c r="N9" s="61">
        <f t="shared" ca="1" si="3"/>
        <v>1</v>
      </c>
      <c r="O9" s="65"/>
      <c r="P9" s="1">
        <v>3.3</v>
      </c>
      <c r="Q9" s="61">
        <f t="shared" ca="1" si="4"/>
        <v>3.2</v>
      </c>
      <c r="R9" s="65"/>
      <c r="S9" s="10">
        <v>2.8</v>
      </c>
      <c r="T9" s="61">
        <f t="shared" ca="1" si="5"/>
        <v>2.9000000000000004</v>
      </c>
      <c r="U9" s="65"/>
      <c r="V9" s="1">
        <v>11.9</v>
      </c>
      <c r="W9" s="53">
        <f t="shared" ref="W9:W44" si="7">AVERAGE(V7:V10)</f>
        <v>11.925000000000001</v>
      </c>
      <c r="X9" s="61">
        <f t="shared" ca="1" si="6"/>
        <v>11.9</v>
      </c>
      <c r="Y9" s="65"/>
    </row>
    <row r="10" spans="1:25" ht="15.75" x14ac:dyDescent="0.2">
      <c r="B10" s="57">
        <v>2016</v>
      </c>
      <c r="C10" s="11" t="s">
        <v>18</v>
      </c>
      <c r="D10" s="10">
        <v>29.3</v>
      </c>
      <c r="E10" s="61">
        <f t="shared" ca="1" si="0"/>
        <v>28.925000000000001</v>
      </c>
      <c r="F10" s="65">
        <f t="shared" ref="F10:F45" si="8">(D10-D6)/D6</f>
        <v>1.3840830449827065E-2</v>
      </c>
      <c r="G10" s="10">
        <v>27.3</v>
      </c>
      <c r="H10" s="61">
        <f t="shared" ca="1" si="1"/>
        <v>26.824999999999999</v>
      </c>
      <c r="I10" s="65">
        <f t="shared" ref="I10:I45" si="9">(G10-G6)/G6</f>
        <v>2.6315789473684181E-2</v>
      </c>
      <c r="J10" s="1">
        <v>32.200000000000003</v>
      </c>
      <c r="K10" s="61">
        <f t="shared" ca="1" si="2"/>
        <v>31.775000000000002</v>
      </c>
      <c r="L10" s="65">
        <f t="shared" ref="L10:L45" ca="1" si="10">(K10-K6)/K6</f>
        <v>2.365930599369175E-3</v>
      </c>
      <c r="M10" s="10">
        <v>1</v>
      </c>
      <c r="N10" s="61">
        <f t="shared" ca="1" si="3"/>
        <v>1</v>
      </c>
      <c r="O10" s="65">
        <f t="shared" ref="O10:O45" ca="1" si="11">(N10-N6)/N6</f>
        <v>0</v>
      </c>
      <c r="P10" s="1">
        <v>3.4</v>
      </c>
      <c r="Q10" s="61">
        <f t="shared" ca="1" si="4"/>
        <v>3.2500000000000004</v>
      </c>
      <c r="R10" s="65">
        <f t="shared" ref="R10:R45" si="12">(P10-P6)/P6</f>
        <v>6.2499999999999917E-2</v>
      </c>
      <c r="S10" s="10">
        <v>2.9</v>
      </c>
      <c r="T10" s="61">
        <f t="shared" ca="1" si="5"/>
        <v>2.875</v>
      </c>
      <c r="U10" s="65">
        <f t="shared" ref="U10:U45" si="13">(S10-S6)/S6</f>
        <v>-3.3333333333333361E-2</v>
      </c>
      <c r="V10" s="10">
        <v>12</v>
      </c>
      <c r="W10" s="53">
        <f t="shared" si="7"/>
        <v>11.95</v>
      </c>
      <c r="X10" s="61">
        <f t="shared" ca="1" si="6"/>
        <v>11.925000000000001</v>
      </c>
      <c r="Y10" s="65">
        <f t="shared" ref="Y10:Y45" si="14">(V10-V6)/V6</f>
        <v>8.4033613445377853E-3</v>
      </c>
    </row>
    <row r="11" spans="1:25" ht="15.75" x14ac:dyDescent="0.2">
      <c r="B11" s="57">
        <v>2016</v>
      </c>
      <c r="C11" s="11" t="s">
        <v>3</v>
      </c>
      <c r="D11" s="10">
        <v>29.2</v>
      </c>
      <c r="E11" s="61">
        <f t="shared" ca="1" si="0"/>
        <v>29.025000000000002</v>
      </c>
      <c r="F11" s="65">
        <f t="shared" si="8"/>
        <v>1.388888888888884E-2</v>
      </c>
      <c r="G11" s="10">
        <v>27.3</v>
      </c>
      <c r="H11" s="61">
        <f t="shared" ca="1" si="1"/>
        <v>27.024999999999999</v>
      </c>
      <c r="I11" s="65">
        <f t="shared" si="9"/>
        <v>3.0188679245283047E-2</v>
      </c>
      <c r="J11" s="1">
        <v>32.1</v>
      </c>
      <c r="K11" s="61">
        <f t="shared" ca="1" si="2"/>
        <v>31.925000000000004</v>
      </c>
      <c r="L11" s="65">
        <f t="shared" ca="1" si="10"/>
        <v>1.0284810126582368E-2</v>
      </c>
      <c r="M11" s="10">
        <v>1</v>
      </c>
      <c r="N11" s="61">
        <f t="shared" ca="1" si="3"/>
        <v>1</v>
      </c>
      <c r="O11" s="65">
        <f t="shared" ca="1" si="11"/>
        <v>0</v>
      </c>
      <c r="P11" s="1">
        <v>3.3</v>
      </c>
      <c r="Q11" s="61">
        <f t="shared" ca="1" si="4"/>
        <v>3.2750000000000004</v>
      </c>
      <c r="R11" s="65">
        <f t="shared" si="12"/>
        <v>3.1249999999999889E-2</v>
      </c>
      <c r="S11" s="10">
        <v>2.8</v>
      </c>
      <c r="T11" s="61">
        <f t="shared" ca="1" si="5"/>
        <v>2.8499999999999996</v>
      </c>
      <c r="U11" s="65">
        <f t="shared" si="13"/>
        <v>-3.4482758620689689E-2</v>
      </c>
      <c r="V11" s="10">
        <v>12</v>
      </c>
      <c r="W11" s="53">
        <f t="shared" si="7"/>
        <v>11.975</v>
      </c>
      <c r="X11" s="61">
        <f t="shared" ca="1" si="6"/>
        <v>11.95</v>
      </c>
      <c r="Y11" s="65">
        <f t="shared" si="14"/>
        <v>8.4033613445377853E-3</v>
      </c>
    </row>
    <row r="12" spans="1:25" ht="15.75" x14ac:dyDescent="0.2">
      <c r="B12" s="57">
        <v>2016</v>
      </c>
      <c r="C12" s="11" t="s">
        <v>15</v>
      </c>
      <c r="D12" s="10">
        <v>28.9</v>
      </c>
      <c r="E12" s="61">
        <f t="shared" ca="1" si="0"/>
        <v>29.125</v>
      </c>
      <c r="F12" s="65">
        <f t="shared" si="8"/>
        <v>1.4035087719298196E-2</v>
      </c>
      <c r="G12" s="10">
        <v>27.1</v>
      </c>
      <c r="H12" s="61">
        <f t="shared" ca="1" si="1"/>
        <v>27.200000000000003</v>
      </c>
      <c r="I12" s="65">
        <f t="shared" si="9"/>
        <v>2.6515151515151623E-2</v>
      </c>
      <c r="J12" s="1">
        <v>31.9</v>
      </c>
      <c r="K12" s="61">
        <f t="shared" ca="1" si="2"/>
        <v>32.075000000000003</v>
      </c>
      <c r="L12" s="65">
        <f t="shared" ca="1" si="10"/>
        <v>1.8253968253968345E-2</v>
      </c>
      <c r="M12" s="10">
        <v>1</v>
      </c>
      <c r="N12" s="61">
        <f t="shared" ca="1" si="3"/>
        <v>1</v>
      </c>
      <c r="O12" s="65">
        <f t="shared" ca="1" si="11"/>
        <v>0</v>
      </c>
      <c r="P12" s="1">
        <v>3.3</v>
      </c>
      <c r="Q12" s="61">
        <f t="shared" ca="1" si="4"/>
        <v>3.3250000000000002</v>
      </c>
      <c r="R12" s="65">
        <f t="shared" si="12"/>
        <v>6.4516129032257979E-2</v>
      </c>
      <c r="S12" s="10">
        <v>2.7</v>
      </c>
      <c r="T12" s="61">
        <f t="shared" ca="1" si="5"/>
        <v>2.8</v>
      </c>
      <c r="U12" s="65">
        <f t="shared" si="13"/>
        <v>-6.8965517241379226E-2</v>
      </c>
      <c r="V12" s="10">
        <v>12</v>
      </c>
      <c r="W12" s="53">
        <f t="shared" si="7"/>
        <v>12</v>
      </c>
      <c r="X12" s="61">
        <f t="shared" ca="1" si="6"/>
        <v>11.975</v>
      </c>
      <c r="Y12" s="65">
        <f t="shared" si="14"/>
        <v>8.4033613445377853E-3</v>
      </c>
    </row>
    <row r="13" spans="1:25" ht="15.75" x14ac:dyDescent="0.2">
      <c r="B13" s="57">
        <v>2016</v>
      </c>
      <c r="C13" s="11" t="s">
        <v>16</v>
      </c>
      <c r="D13" s="10">
        <v>29.5</v>
      </c>
      <c r="E13" s="61">
        <f t="shared" ca="1" si="0"/>
        <v>29.225000000000001</v>
      </c>
      <c r="F13" s="65">
        <f t="shared" si="8"/>
        <v>1.3745704467353903E-2</v>
      </c>
      <c r="G13" s="10">
        <v>27.8</v>
      </c>
      <c r="H13" s="61">
        <f t="shared" ca="1" si="1"/>
        <v>27.375</v>
      </c>
      <c r="I13" s="65">
        <f t="shared" si="9"/>
        <v>2.5830258302582999E-2</v>
      </c>
      <c r="J13" s="1">
        <v>32.6</v>
      </c>
      <c r="K13" s="61">
        <f t="shared" ca="1" si="2"/>
        <v>32.200000000000003</v>
      </c>
      <c r="L13" s="65">
        <f t="shared" ca="1" si="10"/>
        <v>1.7377567140600451E-2</v>
      </c>
      <c r="M13" s="10">
        <v>1.1000000000000001</v>
      </c>
      <c r="N13" s="61">
        <f t="shared" ca="1" si="3"/>
        <v>1.0249999999999999</v>
      </c>
      <c r="O13" s="65">
        <f t="shared" ca="1" si="11"/>
        <v>2.4999999999999911E-2</v>
      </c>
      <c r="P13" s="1">
        <v>3.5</v>
      </c>
      <c r="Q13" s="61">
        <f t="shared" ca="1" si="4"/>
        <v>3.375</v>
      </c>
      <c r="R13" s="65">
        <f t="shared" si="12"/>
        <v>6.0606060606060663E-2</v>
      </c>
      <c r="S13" s="10">
        <v>2.7</v>
      </c>
      <c r="T13" s="61">
        <f t="shared" ca="1" si="5"/>
        <v>2.7749999999999995</v>
      </c>
      <c r="U13" s="65">
        <f t="shared" si="13"/>
        <v>-3.5714285714285587E-2</v>
      </c>
      <c r="V13" s="10">
        <v>12</v>
      </c>
      <c r="W13" s="53">
        <f t="shared" si="7"/>
        <v>12</v>
      </c>
      <c r="X13" s="61">
        <f t="shared" ca="1" si="6"/>
        <v>12</v>
      </c>
      <c r="Y13" s="65">
        <f t="shared" si="14"/>
        <v>8.4033613445377853E-3</v>
      </c>
    </row>
    <row r="14" spans="1:25" ht="15.75" x14ac:dyDescent="0.2">
      <c r="B14" s="57">
        <v>2017</v>
      </c>
      <c r="C14" s="11" t="s">
        <v>18</v>
      </c>
      <c r="D14" s="10">
        <v>29.6</v>
      </c>
      <c r="E14" s="61">
        <f t="shared" ca="1" si="0"/>
        <v>29.299999999999997</v>
      </c>
      <c r="F14" s="65">
        <f t="shared" si="8"/>
        <v>1.0238907849829375E-2</v>
      </c>
      <c r="G14" s="10">
        <v>28</v>
      </c>
      <c r="H14" s="61">
        <f t="shared" ca="1" si="1"/>
        <v>27.55</v>
      </c>
      <c r="I14" s="65">
        <f t="shared" si="9"/>
        <v>2.5641025641025616E-2</v>
      </c>
      <c r="J14" s="1">
        <v>32.799999999999997</v>
      </c>
      <c r="K14" s="61">
        <f t="shared" ca="1" si="2"/>
        <v>32.349999999999994</v>
      </c>
      <c r="L14" s="65">
        <f t="shared" ca="1" si="10"/>
        <v>1.8095987411486773E-2</v>
      </c>
      <c r="M14" s="10">
        <v>1.1000000000000001</v>
      </c>
      <c r="N14" s="61">
        <f t="shared" ca="1" si="3"/>
        <v>1.05</v>
      </c>
      <c r="O14" s="65">
        <f t="shared" ca="1" si="11"/>
        <v>5.0000000000000044E-2</v>
      </c>
      <c r="P14" s="1">
        <v>3.5</v>
      </c>
      <c r="Q14" s="61">
        <f t="shared" ca="1" si="4"/>
        <v>3.4</v>
      </c>
      <c r="R14" s="65">
        <f t="shared" si="12"/>
        <v>2.941176470588238E-2</v>
      </c>
      <c r="S14" s="10">
        <v>2.7</v>
      </c>
      <c r="T14" s="61">
        <f t="shared" ca="1" si="5"/>
        <v>2.7249999999999996</v>
      </c>
      <c r="U14" s="65">
        <f t="shared" si="13"/>
        <v>-6.8965517241379226E-2</v>
      </c>
      <c r="V14" s="10">
        <v>12</v>
      </c>
      <c r="W14" s="53">
        <f t="shared" si="7"/>
        <v>12</v>
      </c>
      <c r="X14" s="61">
        <f t="shared" ca="1" si="6"/>
        <v>12</v>
      </c>
      <c r="Y14" s="65">
        <f t="shared" si="14"/>
        <v>0</v>
      </c>
    </row>
    <row r="15" spans="1:25" ht="15.75" x14ac:dyDescent="0.2">
      <c r="B15" s="57">
        <v>2017</v>
      </c>
      <c r="C15" s="11" t="s">
        <v>3</v>
      </c>
      <c r="D15" s="10">
        <v>29.4</v>
      </c>
      <c r="E15" s="61">
        <f t="shared" ca="1" si="0"/>
        <v>29.35</v>
      </c>
      <c r="F15" s="65">
        <f t="shared" si="8"/>
        <v>6.8493150684931269E-3</v>
      </c>
      <c r="G15" s="10">
        <v>27.9</v>
      </c>
      <c r="H15" s="61">
        <f t="shared" ca="1" si="1"/>
        <v>27.700000000000003</v>
      </c>
      <c r="I15" s="65">
        <f t="shared" si="9"/>
        <v>2.19780219780219E-2</v>
      </c>
      <c r="J15" s="1">
        <v>32.6</v>
      </c>
      <c r="K15" s="61">
        <f t="shared" ca="1" si="2"/>
        <v>32.475000000000001</v>
      </c>
      <c r="L15" s="65">
        <f t="shared" ca="1" si="10"/>
        <v>1.7227877838684326E-2</v>
      </c>
      <c r="M15" s="10">
        <v>1.1000000000000001</v>
      </c>
      <c r="N15" s="61">
        <f t="shared" ca="1" si="3"/>
        <v>1.0750000000000002</v>
      </c>
      <c r="O15" s="65">
        <f t="shared" ca="1" si="11"/>
        <v>7.5000000000000178E-2</v>
      </c>
      <c r="P15" s="1">
        <v>3.4</v>
      </c>
      <c r="Q15" s="61">
        <f t="shared" ca="1" si="4"/>
        <v>3.4250000000000003</v>
      </c>
      <c r="R15" s="65">
        <f t="shared" si="12"/>
        <v>3.0303030303030332E-2</v>
      </c>
      <c r="S15" s="10">
        <v>2.6</v>
      </c>
      <c r="T15" s="61">
        <f t="shared" ca="1" si="5"/>
        <v>2.6750000000000003</v>
      </c>
      <c r="U15" s="65">
        <f t="shared" si="13"/>
        <v>-7.1428571428571341E-2</v>
      </c>
      <c r="V15" s="10">
        <v>12</v>
      </c>
      <c r="W15" s="53">
        <f t="shared" si="7"/>
        <v>12</v>
      </c>
      <c r="X15" s="61">
        <f t="shared" ca="1" si="6"/>
        <v>12</v>
      </c>
      <c r="Y15" s="65">
        <f t="shared" si="14"/>
        <v>0</v>
      </c>
    </row>
    <row r="16" spans="1:25" ht="15.75" x14ac:dyDescent="0.2">
      <c r="B16" s="57">
        <v>2017</v>
      </c>
      <c r="C16" s="11" t="s">
        <v>15</v>
      </c>
      <c r="D16" s="10">
        <v>29</v>
      </c>
      <c r="E16" s="61">
        <f t="shared" ca="1" si="0"/>
        <v>29.375</v>
      </c>
      <c r="F16" s="65">
        <f t="shared" si="8"/>
        <v>3.4602076124567969E-3</v>
      </c>
      <c r="G16" s="10">
        <v>27.6</v>
      </c>
      <c r="H16" s="61">
        <f t="shared" ca="1" si="1"/>
        <v>27.824999999999996</v>
      </c>
      <c r="I16" s="65">
        <f t="shared" si="9"/>
        <v>1.8450184501845018E-2</v>
      </c>
      <c r="J16" s="1">
        <v>32.200000000000003</v>
      </c>
      <c r="K16" s="61">
        <f t="shared" ca="1" si="2"/>
        <v>32.549999999999997</v>
      </c>
      <c r="L16" s="65">
        <f t="shared" ca="1" si="10"/>
        <v>1.4809041309430842E-2</v>
      </c>
      <c r="M16" s="10">
        <v>1.1000000000000001</v>
      </c>
      <c r="N16" s="61">
        <f t="shared" ca="1" si="3"/>
        <v>1.1000000000000001</v>
      </c>
      <c r="O16" s="65">
        <f t="shared" ca="1" si="11"/>
        <v>0.10000000000000009</v>
      </c>
      <c r="P16" s="1">
        <v>3.4</v>
      </c>
      <c r="Q16" s="61">
        <f t="shared" ca="1" si="4"/>
        <v>3.45</v>
      </c>
      <c r="R16" s="65">
        <f t="shared" si="12"/>
        <v>3.0303030303030332E-2</v>
      </c>
      <c r="S16" s="10">
        <v>2.6</v>
      </c>
      <c r="T16" s="61">
        <f t="shared" ca="1" si="5"/>
        <v>2.65</v>
      </c>
      <c r="U16" s="65">
        <f t="shared" si="13"/>
        <v>-3.703703703703707E-2</v>
      </c>
      <c r="V16" s="10">
        <v>12</v>
      </c>
      <c r="W16" s="53">
        <f t="shared" si="7"/>
        <v>12</v>
      </c>
      <c r="X16" s="61">
        <f t="shared" ca="1" si="6"/>
        <v>12</v>
      </c>
      <c r="Y16" s="65">
        <f t="shared" si="14"/>
        <v>0</v>
      </c>
    </row>
    <row r="17" spans="2:33" ht="15.75" x14ac:dyDescent="0.2">
      <c r="B17" s="57">
        <v>2017</v>
      </c>
      <c r="C17" s="11" t="s">
        <v>16</v>
      </c>
      <c r="D17" s="10">
        <v>29.5</v>
      </c>
      <c r="E17" s="61">
        <f t="shared" ca="1" si="0"/>
        <v>29.375</v>
      </c>
      <c r="F17" s="65">
        <f t="shared" si="8"/>
        <v>0</v>
      </c>
      <c r="G17" s="10">
        <v>28.3</v>
      </c>
      <c r="H17" s="61">
        <f t="shared" ca="1" si="1"/>
        <v>27.95</v>
      </c>
      <c r="I17" s="65">
        <f t="shared" si="9"/>
        <v>1.7985611510791366E-2</v>
      </c>
      <c r="J17" s="1">
        <v>32.9</v>
      </c>
      <c r="K17" s="61">
        <f t="shared" ca="1" si="2"/>
        <v>32.625</v>
      </c>
      <c r="L17" s="65">
        <f t="shared" ca="1" si="10"/>
        <v>1.3198757763975066E-2</v>
      </c>
      <c r="M17" s="10">
        <v>1.2</v>
      </c>
      <c r="N17" s="61">
        <f t="shared" ca="1" si="3"/>
        <v>1.125</v>
      </c>
      <c r="O17" s="65">
        <f t="shared" ca="1" si="11"/>
        <v>9.7560975609756198E-2</v>
      </c>
      <c r="P17" s="1">
        <v>3.5</v>
      </c>
      <c r="Q17" s="61">
        <f t="shared" ca="1" si="4"/>
        <v>3.45</v>
      </c>
      <c r="R17" s="65">
        <f t="shared" si="12"/>
        <v>0</v>
      </c>
      <c r="S17" s="10">
        <v>2.5</v>
      </c>
      <c r="T17" s="61">
        <f t="shared" ca="1" si="5"/>
        <v>2.6</v>
      </c>
      <c r="U17" s="65">
        <f t="shared" si="13"/>
        <v>-7.4074074074074139E-2</v>
      </c>
      <c r="V17" s="10">
        <v>12</v>
      </c>
      <c r="W17" s="53">
        <f t="shared" si="7"/>
        <v>12</v>
      </c>
      <c r="X17" s="61">
        <f t="shared" ca="1" si="6"/>
        <v>12</v>
      </c>
      <c r="Y17" s="65">
        <f t="shared" si="14"/>
        <v>0</v>
      </c>
    </row>
    <row r="18" spans="2:33" ht="15.75" x14ac:dyDescent="0.2">
      <c r="B18" s="57">
        <v>2018</v>
      </c>
      <c r="C18" s="11" t="s">
        <v>18</v>
      </c>
      <c r="D18" s="10">
        <v>29.6</v>
      </c>
      <c r="E18" s="61">
        <f t="shared" ca="1" si="0"/>
        <v>29.375</v>
      </c>
      <c r="F18" s="65">
        <f t="shared" si="8"/>
        <v>0</v>
      </c>
      <c r="G18" s="10">
        <v>28.4</v>
      </c>
      <c r="H18" s="61">
        <f t="shared" ca="1" si="1"/>
        <v>28.049999999999997</v>
      </c>
      <c r="I18" s="65">
        <f t="shared" si="9"/>
        <v>1.4285714285714235E-2</v>
      </c>
      <c r="J18" s="10">
        <v>33</v>
      </c>
      <c r="K18" s="61">
        <f t="shared" ca="1" si="2"/>
        <v>32.675000000000004</v>
      </c>
      <c r="L18" s="65">
        <f t="shared" ca="1" si="10"/>
        <v>1.0046367851623184E-2</v>
      </c>
      <c r="M18" s="10">
        <v>1.2</v>
      </c>
      <c r="N18" s="61">
        <f t="shared" ca="1" si="3"/>
        <v>1.1500000000000001</v>
      </c>
      <c r="O18" s="65">
        <f t="shared" ca="1" si="11"/>
        <v>9.5238095238095316E-2</v>
      </c>
      <c r="P18" s="1">
        <v>3.5</v>
      </c>
      <c r="Q18" s="61">
        <f t="shared" ca="1" si="4"/>
        <v>3.45</v>
      </c>
      <c r="R18" s="65">
        <f t="shared" si="12"/>
        <v>0</v>
      </c>
      <c r="S18" s="10">
        <v>2.5</v>
      </c>
      <c r="T18" s="61">
        <f t="shared" ca="1" si="5"/>
        <v>2.5499999999999998</v>
      </c>
      <c r="U18" s="65">
        <f t="shared" si="13"/>
        <v>-7.4074074074074139E-2</v>
      </c>
      <c r="V18" s="10">
        <v>12</v>
      </c>
      <c r="W18" s="53">
        <f t="shared" si="7"/>
        <v>11.975</v>
      </c>
      <c r="X18" s="61">
        <f t="shared" ca="1" si="6"/>
        <v>12</v>
      </c>
      <c r="Y18" s="65">
        <f t="shared" si="14"/>
        <v>0</v>
      </c>
    </row>
    <row r="19" spans="2:33" ht="15.75" x14ac:dyDescent="0.2">
      <c r="B19" s="57">
        <v>2018</v>
      </c>
      <c r="C19" s="11" t="s">
        <v>3</v>
      </c>
      <c r="D19" s="10">
        <v>29.5</v>
      </c>
      <c r="E19" s="61">
        <f t="shared" ca="1" si="0"/>
        <v>29.4</v>
      </c>
      <c r="F19" s="65">
        <f t="shared" si="8"/>
        <v>3.4013605442177355E-3</v>
      </c>
      <c r="G19" s="10">
        <v>28.3</v>
      </c>
      <c r="H19" s="61">
        <f t="shared" ca="1" si="1"/>
        <v>28.150000000000002</v>
      </c>
      <c r="I19" s="65">
        <f t="shared" si="9"/>
        <v>1.4336917562724091E-2</v>
      </c>
      <c r="J19" s="10">
        <v>32.9</v>
      </c>
      <c r="K19" s="61">
        <f t="shared" ca="1" si="2"/>
        <v>32.75</v>
      </c>
      <c r="L19" s="65">
        <f t="shared" ca="1" si="10"/>
        <v>8.468052347959925E-3</v>
      </c>
      <c r="M19" s="10">
        <v>1.2</v>
      </c>
      <c r="N19" s="61">
        <f t="shared" ca="1" si="3"/>
        <v>1.175</v>
      </c>
      <c r="O19" s="65">
        <f t="shared" ca="1" si="11"/>
        <v>9.3023255813953348E-2</v>
      </c>
      <c r="P19" s="1">
        <v>3.5</v>
      </c>
      <c r="Q19" s="61">
        <f t="shared" ca="1" si="4"/>
        <v>3.4750000000000001</v>
      </c>
      <c r="R19" s="65">
        <f t="shared" si="12"/>
        <v>2.941176470588238E-2</v>
      </c>
      <c r="S19" s="10">
        <v>2.5</v>
      </c>
      <c r="T19" s="61">
        <f t="shared" ca="1" si="5"/>
        <v>2.5249999999999999</v>
      </c>
      <c r="U19" s="65">
        <f t="shared" si="13"/>
        <v>-3.8461538461538491E-2</v>
      </c>
      <c r="V19" s="10">
        <v>11.9</v>
      </c>
      <c r="W19" s="53">
        <f t="shared" si="7"/>
        <v>11.95</v>
      </c>
      <c r="X19" s="61">
        <f t="shared" ca="1" si="6"/>
        <v>11.975</v>
      </c>
      <c r="Y19" s="65">
        <f t="shared" si="14"/>
        <v>-8.3333333333333037E-3</v>
      </c>
    </row>
    <row r="20" spans="2:33" ht="15.75" x14ac:dyDescent="0.2">
      <c r="B20" s="57">
        <v>2018</v>
      </c>
      <c r="C20" s="11" t="s">
        <v>15</v>
      </c>
      <c r="D20" s="10">
        <v>29.1</v>
      </c>
      <c r="E20" s="61">
        <f t="shared" ca="1" si="0"/>
        <v>29.424999999999997</v>
      </c>
      <c r="F20" s="65">
        <f t="shared" si="8"/>
        <v>3.4482758620690145E-3</v>
      </c>
      <c r="G20" s="10">
        <v>28</v>
      </c>
      <c r="H20" s="61">
        <f t="shared" ca="1" si="1"/>
        <v>28.25</v>
      </c>
      <c r="I20" s="65">
        <f t="shared" si="9"/>
        <v>1.4492753623188354E-2</v>
      </c>
      <c r="J20" s="10">
        <v>32.5</v>
      </c>
      <c r="K20" s="61">
        <f t="shared" ca="1" si="2"/>
        <v>32.825000000000003</v>
      </c>
      <c r="L20" s="65">
        <f t="shared" ca="1" si="10"/>
        <v>8.4485407066053984E-3</v>
      </c>
      <c r="M20" s="10">
        <v>1.2</v>
      </c>
      <c r="N20" s="61">
        <f t="shared" ca="1" si="3"/>
        <v>1.2</v>
      </c>
      <c r="O20" s="65">
        <f t="shared" ca="1" si="11"/>
        <v>9.0909090909090787E-2</v>
      </c>
      <c r="P20" s="1">
        <v>3.4</v>
      </c>
      <c r="Q20" s="61">
        <f t="shared" ca="1" si="4"/>
        <v>3.4750000000000001</v>
      </c>
      <c r="R20" s="65">
        <f t="shared" si="12"/>
        <v>0</v>
      </c>
      <c r="S20" s="10">
        <v>2.4</v>
      </c>
      <c r="T20" s="61">
        <f t="shared" ca="1" si="5"/>
        <v>2.4750000000000001</v>
      </c>
      <c r="U20" s="65">
        <f t="shared" si="13"/>
        <v>-7.6923076923076983E-2</v>
      </c>
      <c r="V20" s="10">
        <v>11.9</v>
      </c>
      <c r="W20" s="53">
        <f t="shared" si="7"/>
        <v>11.924999999999999</v>
      </c>
      <c r="X20" s="61">
        <f t="shared" ca="1" si="6"/>
        <v>11.95</v>
      </c>
      <c r="Y20" s="65">
        <f t="shared" si="14"/>
        <v>-8.3333333333333037E-3</v>
      </c>
    </row>
    <row r="21" spans="2:33" ht="15.75" x14ac:dyDescent="0.2">
      <c r="B21" s="57">
        <v>2018</v>
      </c>
      <c r="C21" s="11" t="s">
        <v>16</v>
      </c>
      <c r="D21" s="10">
        <v>29.6</v>
      </c>
      <c r="E21" s="61">
        <f t="shared" ca="1" si="0"/>
        <v>29.450000000000003</v>
      </c>
      <c r="F21" s="65">
        <f t="shared" si="8"/>
        <v>3.3898305084746243E-3</v>
      </c>
      <c r="G21" s="10">
        <v>28.7</v>
      </c>
      <c r="H21" s="61">
        <f t="shared" ca="1" si="1"/>
        <v>28.35</v>
      </c>
      <c r="I21" s="65">
        <f t="shared" si="9"/>
        <v>1.4134275618374508E-2</v>
      </c>
      <c r="J21" s="10">
        <v>33.1</v>
      </c>
      <c r="K21" s="61">
        <f t="shared" ca="1" si="2"/>
        <v>32.875</v>
      </c>
      <c r="L21" s="65">
        <f t="shared" ca="1" si="10"/>
        <v>7.6628352490421452E-3</v>
      </c>
      <c r="M21" s="10">
        <v>1.3</v>
      </c>
      <c r="N21" s="61">
        <f t="shared" ca="1" si="3"/>
        <v>1.2249999999999999</v>
      </c>
      <c r="O21" s="65">
        <f t="shared" ca="1" si="11"/>
        <v>8.8888888888888767E-2</v>
      </c>
      <c r="P21" s="1">
        <v>3.6</v>
      </c>
      <c r="Q21" s="61">
        <f t="shared" ca="1" si="4"/>
        <v>3.5</v>
      </c>
      <c r="R21" s="65">
        <f t="shared" si="12"/>
        <v>2.8571428571428598E-2</v>
      </c>
      <c r="S21" s="10">
        <v>2.2999999999999998</v>
      </c>
      <c r="T21" s="61">
        <f t="shared" ca="1" si="5"/>
        <v>2.4249999999999998</v>
      </c>
      <c r="U21" s="65">
        <f t="shared" si="13"/>
        <v>-8.0000000000000071E-2</v>
      </c>
      <c r="V21" s="10">
        <v>11.9</v>
      </c>
      <c r="W21" s="53">
        <f t="shared" si="7"/>
        <v>11.875</v>
      </c>
      <c r="X21" s="61">
        <f t="shared" ca="1" si="6"/>
        <v>11.924999999999999</v>
      </c>
      <c r="Y21" s="65">
        <f t="shared" si="14"/>
        <v>-8.3333333333333037E-3</v>
      </c>
    </row>
    <row r="22" spans="2:33" ht="15.75" x14ac:dyDescent="0.2">
      <c r="B22" s="57">
        <v>2019</v>
      </c>
      <c r="C22" s="11" t="s">
        <v>18</v>
      </c>
      <c r="D22" s="10">
        <v>29.7</v>
      </c>
      <c r="E22" s="61">
        <f t="shared" ca="1" si="0"/>
        <v>29.475000000000001</v>
      </c>
      <c r="F22" s="65">
        <f t="shared" si="8"/>
        <v>3.3783783783783061E-3</v>
      </c>
      <c r="G22" s="10">
        <v>28.8</v>
      </c>
      <c r="H22" s="61">
        <f t="shared" ca="1" si="1"/>
        <v>28.45</v>
      </c>
      <c r="I22" s="65">
        <f t="shared" si="9"/>
        <v>1.4084507042253596E-2</v>
      </c>
      <c r="J22" s="10">
        <v>33.299999999999997</v>
      </c>
      <c r="K22" s="61">
        <f t="shared" ca="1" si="2"/>
        <v>32.950000000000003</v>
      </c>
      <c r="L22" s="65">
        <f t="shared" ca="1" si="10"/>
        <v>8.4162203519509877E-3</v>
      </c>
      <c r="M22" s="10">
        <v>1.5</v>
      </c>
      <c r="N22" s="61">
        <f t="shared" ca="1" si="3"/>
        <v>1.3</v>
      </c>
      <c r="O22" s="65">
        <f t="shared" ca="1" si="11"/>
        <v>0.13043478260869557</v>
      </c>
      <c r="P22" s="1">
        <v>3.6</v>
      </c>
      <c r="Q22" s="61">
        <f t="shared" ca="1" si="4"/>
        <v>3.5249999999999999</v>
      </c>
      <c r="R22" s="65">
        <f t="shared" si="12"/>
        <v>2.8571428571428598E-2</v>
      </c>
      <c r="S22" s="10">
        <v>2.2000000000000002</v>
      </c>
      <c r="T22" s="61">
        <f t="shared" ca="1" si="5"/>
        <v>2.35</v>
      </c>
      <c r="U22" s="65">
        <f t="shared" si="13"/>
        <v>-0.11999999999999993</v>
      </c>
      <c r="V22" s="10">
        <v>11.8</v>
      </c>
      <c r="W22" s="53">
        <f t="shared" si="7"/>
        <v>11.850000000000001</v>
      </c>
      <c r="X22" s="61">
        <f t="shared" ca="1" si="6"/>
        <v>11.875</v>
      </c>
      <c r="Y22" s="65">
        <f t="shared" si="14"/>
        <v>-1.6666666666666607E-2</v>
      </c>
    </row>
    <row r="23" spans="2:33" ht="15.75" x14ac:dyDescent="0.2">
      <c r="B23" s="57">
        <v>2019</v>
      </c>
      <c r="C23" s="11" t="s">
        <v>3</v>
      </c>
      <c r="D23" s="10">
        <v>29.5</v>
      </c>
      <c r="E23" s="61">
        <f t="shared" ca="1" si="0"/>
        <v>29.475000000000001</v>
      </c>
      <c r="F23" s="65">
        <f t="shared" si="8"/>
        <v>0</v>
      </c>
      <c r="G23" s="10">
        <v>28.7</v>
      </c>
      <c r="H23" s="61">
        <f t="shared" ca="1" si="1"/>
        <v>28.55</v>
      </c>
      <c r="I23" s="65">
        <f t="shared" si="9"/>
        <v>1.4134275618374508E-2</v>
      </c>
      <c r="J23" s="10">
        <v>33.1</v>
      </c>
      <c r="K23" s="61">
        <f t="shared" ca="1" si="2"/>
        <v>33</v>
      </c>
      <c r="L23" s="65">
        <f t="shared" ca="1" si="10"/>
        <v>7.6335877862595417E-3</v>
      </c>
      <c r="M23" s="10">
        <v>1.3</v>
      </c>
      <c r="N23" s="61">
        <f t="shared" ca="1" si="3"/>
        <v>1.325</v>
      </c>
      <c r="O23" s="65">
        <f t="shared" ca="1" si="11"/>
        <v>0.12765957446808501</v>
      </c>
      <c r="P23" s="1">
        <v>3.5</v>
      </c>
      <c r="Q23" s="61">
        <f t="shared" ca="1" si="4"/>
        <v>3.5249999999999999</v>
      </c>
      <c r="R23" s="65">
        <f t="shared" si="12"/>
        <v>0</v>
      </c>
      <c r="S23" s="10">
        <v>2.2000000000000002</v>
      </c>
      <c r="T23" s="61">
        <f t="shared" ca="1" si="5"/>
        <v>2.2749999999999999</v>
      </c>
      <c r="U23" s="65">
        <f t="shared" si="13"/>
        <v>-0.11999999999999993</v>
      </c>
      <c r="V23" s="10">
        <v>11.8</v>
      </c>
      <c r="W23" s="53">
        <f t="shared" si="7"/>
        <v>11.824999999999999</v>
      </c>
      <c r="X23" s="61">
        <f t="shared" ca="1" si="6"/>
        <v>11.850000000000001</v>
      </c>
      <c r="Y23" s="65">
        <f t="shared" si="14"/>
        <v>-8.4033613445377853E-3</v>
      </c>
    </row>
    <row r="24" spans="2:33" ht="15.75" x14ac:dyDescent="0.2">
      <c r="B24" s="57">
        <v>2019</v>
      </c>
      <c r="C24" s="11" t="s">
        <v>15</v>
      </c>
      <c r="D24" s="10">
        <v>29.1</v>
      </c>
      <c r="E24" s="61">
        <f t="shared" ca="1" si="0"/>
        <v>29.475000000000001</v>
      </c>
      <c r="F24" s="65">
        <f t="shared" si="8"/>
        <v>0</v>
      </c>
      <c r="G24" s="10">
        <v>28.3</v>
      </c>
      <c r="H24" s="61">
        <f t="shared" ca="1" si="1"/>
        <v>28.625</v>
      </c>
      <c r="I24" s="65">
        <f t="shared" si="9"/>
        <v>1.071428571428574E-2</v>
      </c>
      <c r="J24" s="10">
        <v>32.6</v>
      </c>
      <c r="K24" s="61">
        <f t="shared" ca="1" si="2"/>
        <v>33.024999999999999</v>
      </c>
      <c r="L24" s="65">
        <f t="shared" ca="1" si="10"/>
        <v>6.0929169840059621E-3</v>
      </c>
      <c r="M24" s="10">
        <v>1.3</v>
      </c>
      <c r="N24" s="61">
        <f t="shared" ca="1" si="3"/>
        <v>1.3499999999999999</v>
      </c>
      <c r="O24" s="65">
        <f t="shared" ca="1" si="11"/>
        <v>0.12499999999999993</v>
      </c>
      <c r="P24" s="1">
        <v>3.5</v>
      </c>
      <c r="Q24" s="61">
        <f t="shared" ca="1" si="4"/>
        <v>3.55</v>
      </c>
      <c r="R24" s="65">
        <f t="shared" si="12"/>
        <v>2.941176470588238E-2</v>
      </c>
      <c r="S24" s="10">
        <v>2.1</v>
      </c>
      <c r="T24" s="61">
        <f t="shared" ca="1" si="5"/>
        <v>2.2000000000000002</v>
      </c>
      <c r="U24" s="65">
        <f t="shared" si="13"/>
        <v>-0.12499999999999993</v>
      </c>
      <c r="V24" s="10">
        <v>11.8</v>
      </c>
      <c r="W24" s="53">
        <f t="shared" si="7"/>
        <v>11.775000000000002</v>
      </c>
      <c r="X24" s="61">
        <f t="shared" ca="1" si="6"/>
        <v>11.824999999999999</v>
      </c>
      <c r="Y24" s="65">
        <f t="shared" si="14"/>
        <v>-8.4033613445377853E-3</v>
      </c>
    </row>
    <row r="25" spans="2:33" ht="15.75" x14ac:dyDescent="0.2">
      <c r="B25" s="57">
        <v>2019</v>
      </c>
      <c r="C25" s="11" t="s">
        <v>16</v>
      </c>
      <c r="D25" s="10">
        <v>29.5</v>
      </c>
      <c r="E25" s="61">
        <f t="shared" ca="1" si="0"/>
        <v>29.450000000000003</v>
      </c>
      <c r="F25" s="65">
        <f t="shared" si="8"/>
        <v>-3.3783783783784263E-3</v>
      </c>
      <c r="G25" s="10">
        <v>28.9</v>
      </c>
      <c r="H25" s="61">
        <f t="shared" ca="1" si="1"/>
        <v>28.674999999999997</v>
      </c>
      <c r="I25" s="65">
        <f t="shared" si="9"/>
        <v>6.9686411149825541E-3</v>
      </c>
      <c r="J25" s="10">
        <v>33.200000000000003</v>
      </c>
      <c r="K25" s="61">
        <f t="shared" ca="1" si="2"/>
        <v>33.049999999999997</v>
      </c>
      <c r="L25" s="65">
        <f t="shared" ca="1" si="10"/>
        <v>5.323193916349723E-3</v>
      </c>
      <c r="M25" s="10">
        <v>1.4</v>
      </c>
      <c r="N25" s="61">
        <f t="shared" ca="1" si="3"/>
        <v>1.375</v>
      </c>
      <c r="O25" s="65">
        <f t="shared" ca="1" si="11"/>
        <v>0.12244897959183686</v>
      </c>
      <c r="P25" s="1">
        <v>3.6</v>
      </c>
      <c r="Q25" s="61">
        <f t="shared" ca="1" si="4"/>
        <v>3.55</v>
      </c>
      <c r="R25" s="65">
        <f t="shared" si="12"/>
        <v>0</v>
      </c>
      <c r="S25" s="10">
        <v>2</v>
      </c>
      <c r="T25" s="61">
        <f t="shared" ca="1" si="5"/>
        <v>2.125</v>
      </c>
      <c r="U25" s="65">
        <f t="shared" si="13"/>
        <v>-0.13043478260869559</v>
      </c>
      <c r="V25" s="10">
        <v>11.7</v>
      </c>
      <c r="W25" s="53">
        <f t="shared" si="7"/>
        <v>11.75</v>
      </c>
      <c r="X25" s="61">
        <f t="shared" ca="1" si="6"/>
        <v>11.775000000000002</v>
      </c>
      <c r="Y25" s="65">
        <f t="shared" si="14"/>
        <v>-1.680672268907572E-2</v>
      </c>
    </row>
    <row r="26" spans="2:33" ht="15.75" x14ac:dyDescent="0.2">
      <c r="B26" s="57">
        <v>2020</v>
      </c>
      <c r="C26" s="11" t="s">
        <v>18</v>
      </c>
      <c r="D26" s="10">
        <v>29.6</v>
      </c>
      <c r="E26" s="61">
        <f t="shared" ca="1" si="0"/>
        <v>29.424999999999997</v>
      </c>
      <c r="F26" s="65">
        <f t="shared" si="8"/>
        <v>-3.3670033670032953E-3</v>
      </c>
      <c r="G26" s="10">
        <v>28.9</v>
      </c>
      <c r="H26" s="61">
        <f t="shared" ca="1" si="1"/>
        <v>28.700000000000003</v>
      </c>
      <c r="I26" s="65">
        <f t="shared" si="9"/>
        <v>3.4722222222221483E-3</v>
      </c>
      <c r="J26" s="10">
        <v>33.200000000000003</v>
      </c>
      <c r="K26" s="61">
        <f t="shared" ca="1" si="2"/>
        <v>33.025000000000006</v>
      </c>
      <c r="L26" s="65">
        <f t="shared" ca="1" si="10"/>
        <v>2.2761760242792969E-3</v>
      </c>
      <c r="M26" s="10">
        <v>1.4</v>
      </c>
      <c r="N26" s="61">
        <f t="shared" ca="1" si="3"/>
        <v>1.35</v>
      </c>
      <c r="O26" s="65">
        <f t="shared" ca="1" si="11"/>
        <v>3.8461538461538491E-2</v>
      </c>
      <c r="P26" s="1">
        <v>3.6</v>
      </c>
      <c r="Q26" s="61">
        <f t="shared" ca="1" si="4"/>
        <v>3.55</v>
      </c>
      <c r="R26" s="65">
        <f t="shared" si="12"/>
        <v>0</v>
      </c>
      <c r="S26" s="10">
        <v>1.9</v>
      </c>
      <c r="T26" s="61">
        <f t="shared" ca="1" si="5"/>
        <v>2.0500000000000003</v>
      </c>
      <c r="U26" s="65">
        <f t="shared" si="13"/>
        <v>-0.13636363636363646</v>
      </c>
      <c r="V26" s="10">
        <v>11.7</v>
      </c>
      <c r="W26" s="53">
        <f t="shared" si="7"/>
        <v>11.700000000000001</v>
      </c>
      <c r="X26" s="61">
        <f t="shared" ca="1" si="6"/>
        <v>11.75</v>
      </c>
      <c r="Y26" s="65">
        <f t="shared" si="14"/>
        <v>-8.4745762711865603E-3</v>
      </c>
    </row>
    <row r="27" spans="2:33" ht="15.75" x14ac:dyDescent="0.2">
      <c r="B27" s="57">
        <v>2020</v>
      </c>
      <c r="C27" s="11" t="s">
        <v>3</v>
      </c>
      <c r="D27" s="10">
        <v>29.4</v>
      </c>
      <c r="E27" s="61">
        <f t="shared" ca="1" si="0"/>
        <v>29.4</v>
      </c>
      <c r="F27" s="65">
        <f t="shared" si="8"/>
        <v>-3.3898305084746243E-3</v>
      </c>
      <c r="G27" s="10">
        <v>28.8</v>
      </c>
      <c r="H27" s="61">
        <f t="shared" ca="1" si="1"/>
        <v>28.724999999999998</v>
      </c>
      <c r="I27" s="65">
        <f t="shared" si="9"/>
        <v>3.4843205574913386E-3</v>
      </c>
      <c r="J27" s="10">
        <v>33</v>
      </c>
      <c r="K27" s="61">
        <f t="shared" ca="1" si="2"/>
        <v>33</v>
      </c>
      <c r="L27" s="65">
        <f t="shared" ca="1" si="10"/>
        <v>0</v>
      </c>
      <c r="M27" s="10">
        <v>1.4</v>
      </c>
      <c r="N27" s="61">
        <f t="shared" ca="1" si="3"/>
        <v>1.375</v>
      </c>
      <c r="O27" s="65">
        <f t="shared" ca="1" si="11"/>
        <v>3.7735849056603807E-2</v>
      </c>
      <c r="P27" s="13">
        <v>3.5</v>
      </c>
      <c r="Q27" s="61">
        <f t="shared" ca="1" si="4"/>
        <v>3.55</v>
      </c>
      <c r="R27" s="65">
        <f t="shared" si="12"/>
        <v>0</v>
      </c>
      <c r="S27" s="10">
        <v>1.9</v>
      </c>
      <c r="T27" s="61">
        <f t="shared" ca="1" si="5"/>
        <v>1.9750000000000001</v>
      </c>
      <c r="U27" s="65">
        <f t="shared" si="13"/>
        <v>-0.13636363636363646</v>
      </c>
      <c r="V27" s="10">
        <v>11.6</v>
      </c>
      <c r="W27" s="53">
        <f t="shared" si="7"/>
        <v>11.65</v>
      </c>
      <c r="X27" s="61">
        <f t="shared" ca="1" si="6"/>
        <v>11.700000000000001</v>
      </c>
      <c r="Y27" s="65">
        <f t="shared" si="14"/>
        <v>-1.6949152542372972E-2</v>
      </c>
    </row>
    <row r="28" spans="2:33" ht="15.75" x14ac:dyDescent="0.2">
      <c r="B28" s="57">
        <v>2020</v>
      </c>
      <c r="C28" s="57" t="s">
        <v>15</v>
      </c>
      <c r="D28" s="15">
        <v>29.1</v>
      </c>
      <c r="E28" s="61">
        <f t="shared" ca="1" si="0"/>
        <v>29.4</v>
      </c>
      <c r="F28" s="65">
        <f t="shared" si="8"/>
        <v>0</v>
      </c>
      <c r="G28" s="10">
        <v>28.6</v>
      </c>
      <c r="H28" s="61">
        <f t="shared" ca="1" si="1"/>
        <v>28.799999999999997</v>
      </c>
      <c r="I28" s="65">
        <f t="shared" si="9"/>
        <v>1.0600706713780944E-2</v>
      </c>
      <c r="J28" s="15">
        <v>32.799999999999997</v>
      </c>
      <c r="K28" s="61">
        <f t="shared" ca="1" si="2"/>
        <v>33.049999999999997</v>
      </c>
      <c r="L28" s="65">
        <f t="shared" ca="1" si="10"/>
        <v>7.5700227100676998E-4</v>
      </c>
      <c r="M28" s="10">
        <v>1.4</v>
      </c>
      <c r="N28" s="61">
        <f t="shared" ca="1" si="3"/>
        <v>1.4</v>
      </c>
      <c r="O28" s="65">
        <f t="shared" ca="1" si="11"/>
        <v>3.7037037037037077E-2</v>
      </c>
      <c r="P28" s="39">
        <v>3.5</v>
      </c>
      <c r="Q28" s="61">
        <f t="shared" ca="1" si="4"/>
        <v>3.55</v>
      </c>
      <c r="R28" s="65">
        <f t="shared" si="12"/>
        <v>0</v>
      </c>
      <c r="S28" s="10">
        <v>1.8</v>
      </c>
      <c r="T28" s="61">
        <f t="shared" ca="1" si="5"/>
        <v>1.9</v>
      </c>
      <c r="U28" s="65">
        <f t="shared" si="13"/>
        <v>-0.14285714285714288</v>
      </c>
      <c r="V28" s="1">
        <v>11.6</v>
      </c>
      <c r="W28" s="53">
        <f t="shared" si="7"/>
        <v>11.6</v>
      </c>
      <c r="X28" s="61">
        <f t="shared" ca="1" si="6"/>
        <v>11.65</v>
      </c>
      <c r="Y28" s="65">
        <f t="shared" si="14"/>
        <v>-1.6949152542372972E-2</v>
      </c>
    </row>
    <row r="29" spans="2:33" ht="15.75" x14ac:dyDescent="0.2">
      <c r="B29" s="57">
        <v>2020</v>
      </c>
      <c r="C29" s="57" t="s">
        <v>16</v>
      </c>
      <c r="D29" s="15">
        <v>29.6</v>
      </c>
      <c r="E29" s="61">
        <f t="shared" ca="1" si="0"/>
        <v>29.424999999999997</v>
      </c>
      <c r="F29" s="65">
        <f t="shared" si="8"/>
        <v>3.3898305084746243E-3</v>
      </c>
      <c r="G29" s="10">
        <v>29.2</v>
      </c>
      <c r="H29" s="61">
        <f t="shared" ca="1" si="1"/>
        <v>28.875000000000004</v>
      </c>
      <c r="I29" s="65">
        <f t="shared" si="9"/>
        <v>1.0380622837370268E-2</v>
      </c>
      <c r="J29" s="15">
        <v>33.4</v>
      </c>
      <c r="K29" s="61">
        <f t="shared" ca="1" si="2"/>
        <v>33.1</v>
      </c>
      <c r="L29" s="65">
        <f t="shared" ca="1" si="10"/>
        <v>1.5128593040848492E-3</v>
      </c>
      <c r="M29" s="10">
        <v>1.5</v>
      </c>
      <c r="N29" s="61">
        <f t="shared" ca="1" si="3"/>
        <v>1.4249999999999998</v>
      </c>
      <c r="O29" s="65">
        <f t="shared" ca="1" si="11"/>
        <v>3.6363636363636237E-2</v>
      </c>
      <c r="P29" s="15">
        <v>3.6</v>
      </c>
      <c r="Q29" s="61">
        <f t="shared" ca="1" si="4"/>
        <v>3.55</v>
      </c>
      <c r="R29" s="65">
        <f t="shared" si="12"/>
        <v>0</v>
      </c>
      <c r="S29" s="10">
        <v>1.7</v>
      </c>
      <c r="T29" s="61">
        <f t="shared" ca="1" si="5"/>
        <v>1.825</v>
      </c>
      <c r="U29" s="65">
        <f t="shared" si="13"/>
        <v>-0.15000000000000002</v>
      </c>
      <c r="V29" s="15">
        <v>11.5</v>
      </c>
      <c r="W29" s="53">
        <f t="shared" si="7"/>
        <v>11.55</v>
      </c>
      <c r="X29" s="61">
        <f t="shared" ca="1" si="6"/>
        <v>11.6</v>
      </c>
      <c r="Y29" s="65">
        <f t="shared" si="14"/>
        <v>-1.7094017094017033E-2</v>
      </c>
    </row>
    <row r="30" spans="2:33" ht="15.75" x14ac:dyDescent="0.2">
      <c r="B30" s="57">
        <v>2021</v>
      </c>
      <c r="C30" s="57" t="s">
        <v>18</v>
      </c>
      <c r="D30" s="15">
        <v>29.6</v>
      </c>
      <c r="E30" s="61">
        <f t="shared" ca="1" si="0"/>
        <v>29.424999999999997</v>
      </c>
      <c r="F30" s="65">
        <f t="shared" si="8"/>
        <v>0</v>
      </c>
      <c r="G30" s="10">
        <v>29.3</v>
      </c>
      <c r="H30" s="61">
        <f t="shared" ca="1" si="1"/>
        <v>28.975000000000001</v>
      </c>
      <c r="I30" s="65">
        <f t="shared" si="9"/>
        <v>1.3840830449827065E-2</v>
      </c>
      <c r="J30" s="15">
        <v>33.5</v>
      </c>
      <c r="K30" s="61">
        <f t="shared" ca="1" si="2"/>
        <v>33.174999999999997</v>
      </c>
      <c r="L30" s="65">
        <f t="shared" ca="1" si="10"/>
        <v>4.5420136260406188E-3</v>
      </c>
      <c r="M30" s="10">
        <v>1.5</v>
      </c>
      <c r="N30" s="61">
        <f t="shared" ca="1" si="3"/>
        <v>1.45</v>
      </c>
      <c r="O30" s="65">
        <f t="shared" ca="1" si="11"/>
        <v>7.4074074074073973E-2</v>
      </c>
      <c r="P30" s="15">
        <v>3.6</v>
      </c>
      <c r="Q30" s="61">
        <f t="shared" ca="1" si="4"/>
        <v>3.55</v>
      </c>
      <c r="R30" s="65">
        <f t="shared" si="12"/>
        <v>0</v>
      </c>
      <c r="S30" s="10">
        <v>1.7</v>
      </c>
      <c r="T30" s="61">
        <f t="shared" ca="1" si="5"/>
        <v>1.7750000000000001</v>
      </c>
      <c r="U30" s="65">
        <f t="shared" si="13"/>
        <v>-0.10526315789473682</v>
      </c>
      <c r="V30" s="15">
        <v>11.5</v>
      </c>
      <c r="W30" s="53">
        <f t="shared" si="7"/>
        <v>11.5</v>
      </c>
      <c r="X30" s="61">
        <f t="shared" ca="1" si="6"/>
        <v>11.55</v>
      </c>
      <c r="Y30" s="67">
        <f t="shared" si="14"/>
        <v>-1.7094017094017033E-2</v>
      </c>
    </row>
    <row r="31" spans="2:33" ht="15.75" x14ac:dyDescent="0.2">
      <c r="B31" s="57">
        <v>2021</v>
      </c>
      <c r="C31" s="57" t="s">
        <v>3</v>
      </c>
      <c r="D31" s="37">
        <v>29.6</v>
      </c>
      <c r="E31" s="61">
        <f t="shared" ca="1" si="0"/>
        <v>29.475000000000001</v>
      </c>
      <c r="F31" s="65">
        <f t="shared" si="8"/>
        <v>6.802721088435471E-3</v>
      </c>
      <c r="G31" s="10">
        <v>29.4</v>
      </c>
      <c r="H31" s="61">
        <f t="shared" ca="1" si="1"/>
        <v>29.125</v>
      </c>
      <c r="I31" s="65">
        <f t="shared" si="9"/>
        <v>2.0833333333333259E-2</v>
      </c>
      <c r="J31" s="37">
        <v>33.6</v>
      </c>
      <c r="K31" s="61">
        <f t="shared" ca="1" si="2"/>
        <v>33.324999999999996</v>
      </c>
      <c r="L31" s="65">
        <f t="shared" ca="1" si="10"/>
        <v>9.8484848484847193E-3</v>
      </c>
      <c r="M31" s="10">
        <v>1.5</v>
      </c>
      <c r="N31" s="61">
        <f t="shared" ca="1" si="3"/>
        <v>1.4750000000000001</v>
      </c>
      <c r="O31" s="65">
        <f t="shared" ca="1" si="11"/>
        <v>7.2727272727272793E-2</v>
      </c>
      <c r="P31" s="32">
        <v>3.6</v>
      </c>
      <c r="Q31" s="61">
        <f t="shared" ca="1" si="4"/>
        <v>3.5749999999999997</v>
      </c>
      <c r="R31" s="65">
        <f t="shared" si="12"/>
        <v>2.8571428571428598E-2</v>
      </c>
      <c r="S31" s="10">
        <v>1.6</v>
      </c>
      <c r="T31" s="61">
        <f t="shared" ca="1" si="5"/>
        <v>1.7000000000000002</v>
      </c>
      <c r="U31" s="65">
        <f t="shared" si="13"/>
        <v>-0.15789473684210517</v>
      </c>
      <c r="V31" s="32">
        <v>11.4</v>
      </c>
      <c r="W31" s="53">
        <f t="shared" si="7"/>
        <v>11.425000000000001</v>
      </c>
      <c r="X31" s="61">
        <f t="shared" ca="1" si="6"/>
        <v>11.5</v>
      </c>
      <c r="Y31" s="65">
        <f t="shared" si="14"/>
        <v>-1.7241379310344768E-2</v>
      </c>
      <c r="Z31" s="122"/>
      <c r="AA31" s="122"/>
      <c r="AB31" s="123"/>
      <c r="AC31" s="123"/>
      <c r="AD31" s="123"/>
      <c r="AE31" s="123"/>
      <c r="AF31" s="123"/>
      <c r="AG31" s="123"/>
    </row>
    <row r="32" spans="2:33" ht="15.75" x14ac:dyDescent="0.2">
      <c r="B32" s="57">
        <v>2021</v>
      </c>
      <c r="C32" s="57" t="s">
        <v>15</v>
      </c>
      <c r="D32" s="37">
        <v>29.5</v>
      </c>
      <c r="E32" s="61">
        <f t="shared" ca="1" si="0"/>
        <v>29.575000000000003</v>
      </c>
      <c r="F32" s="65">
        <f t="shared" si="8"/>
        <v>1.3745704467353903E-2</v>
      </c>
      <c r="G32" s="10">
        <v>29.3</v>
      </c>
      <c r="H32" s="61">
        <f t="shared" ca="1" si="1"/>
        <v>29.3</v>
      </c>
      <c r="I32" s="65">
        <f t="shared" si="9"/>
        <v>2.4475524475524448E-2</v>
      </c>
      <c r="J32" s="39">
        <v>33.5</v>
      </c>
      <c r="K32" s="61">
        <f t="shared" ca="1" si="2"/>
        <v>33.5</v>
      </c>
      <c r="L32" s="65">
        <f t="shared" ca="1" si="10"/>
        <v>1.3615733736762569E-2</v>
      </c>
      <c r="M32" s="10">
        <v>1.5</v>
      </c>
      <c r="N32" s="61">
        <f t="shared" ca="1" si="3"/>
        <v>1.5</v>
      </c>
      <c r="O32" s="65">
        <f t="shared" ca="1" si="11"/>
        <v>7.1428571428571494E-2</v>
      </c>
      <c r="P32" s="39">
        <v>3.6</v>
      </c>
      <c r="Q32" s="61">
        <f t="shared" ca="1" si="4"/>
        <v>3.6</v>
      </c>
      <c r="R32" s="65">
        <f t="shared" si="12"/>
        <v>2.8571428571428598E-2</v>
      </c>
      <c r="S32" s="10">
        <v>1.6</v>
      </c>
      <c r="T32" s="61">
        <f t="shared" ca="1" si="5"/>
        <v>1.65</v>
      </c>
      <c r="U32" s="65">
        <f t="shared" si="13"/>
        <v>-0.11111111111111108</v>
      </c>
      <c r="V32" s="39">
        <v>11.3</v>
      </c>
      <c r="W32" s="53">
        <f t="shared" si="7"/>
        <v>11.375</v>
      </c>
      <c r="X32" s="61">
        <f t="shared" ca="1" si="6"/>
        <v>11.425000000000001</v>
      </c>
      <c r="Y32" s="68">
        <f t="shared" si="14"/>
        <v>-2.5862068965517151E-2</v>
      </c>
      <c r="AA32" s="56"/>
    </row>
    <row r="33" spans="2:27" ht="15.75" x14ac:dyDescent="0.2">
      <c r="B33" s="57">
        <v>2021</v>
      </c>
      <c r="C33" s="57" t="s">
        <v>16</v>
      </c>
      <c r="D33" s="39">
        <v>30</v>
      </c>
      <c r="E33" s="61">
        <f t="shared" ca="1" si="0"/>
        <v>29.675000000000001</v>
      </c>
      <c r="F33" s="65">
        <f t="shared" si="8"/>
        <v>1.3513513513513466E-2</v>
      </c>
      <c r="G33" s="10">
        <v>30</v>
      </c>
      <c r="H33" s="61">
        <f t="shared" ca="1" si="1"/>
        <v>29.5</v>
      </c>
      <c r="I33" s="65">
        <f t="shared" si="9"/>
        <v>2.7397260273972629E-2</v>
      </c>
      <c r="J33" s="39">
        <v>34.200000000000003</v>
      </c>
      <c r="K33" s="61">
        <f t="shared" ca="1" si="2"/>
        <v>33.700000000000003</v>
      </c>
      <c r="L33" s="65">
        <f t="shared" ca="1" si="10"/>
        <v>1.8126888217522702E-2</v>
      </c>
      <c r="M33" s="10">
        <v>1.6</v>
      </c>
      <c r="N33" s="61">
        <f t="shared" ca="1" si="3"/>
        <v>1.5249999999999999</v>
      </c>
      <c r="O33" s="65">
        <f t="shared" ca="1" si="11"/>
        <v>7.0175438596491294E-2</v>
      </c>
      <c r="P33" s="39">
        <v>3.7</v>
      </c>
      <c r="Q33" s="61">
        <f t="shared" ca="1" si="4"/>
        <v>3.625</v>
      </c>
      <c r="R33" s="65">
        <f t="shared" si="12"/>
        <v>2.7777777777777801E-2</v>
      </c>
      <c r="S33" s="10">
        <v>1.5</v>
      </c>
      <c r="T33" s="61">
        <f t="shared" ca="1" si="5"/>
        <v>1.6</v>
      </c>
      <c r="U33" s="65">
        <f t="shared" si="13"/>
        <v>-0.11764705882352938</v>
      </c>
      <c r="V33" s="39">
        <v>11.3</v>
      </c>
      <c r="W33" s="53">
        <f t="shared" si="7"/>
        <v>11.3</v>
      </c>
      <c r="X33" s="61">
        <f t="shared" ca="1" si="6"/>
        <v>11.375</v>
      </c>
      <c r="Y33" s="65">
        <f t="shared" si="14"/>
        <v>-1.7391304347826025E-2</v>
      </c>
      <c r="AA33" s="56"/>
    </row>
    <row r="34" spans="2:27" ht="15.75" x14ac:dyDescent="0.2">
      <c r="B34" s="57">
        <v>2022</v>
      </c>
      <c r="C34" s="57" t="s">
        <v>18</v>
      </c>
      <c r="D34" s="15">
        <v>30.1</v>
      </c>
      <c r="E34" s="61">
        <f t="shared" ca="1" si="0"/>
        <v>29.799999999999997</v>
      </c>
      <c r="F34" s="65">
        <f t="shared" si="8"/>
        <v>1.6891891891891889E-2</v>
      </c>
      <c r="G34" s="10">
        <v>30.1</v>
      </c>
      <c r="H34" s="61">
        <f t="shared" ca="1" si="1"/>
        <v>29.700000000000003</v>
      </c>
      <c r="I34" s="65">
        <f t="shared" si="9"/>
        <v>2.7303754266211629E-2</v>
      </c>
      <c r="J34" s="15">
        <v>34.299999999999997</v>
      </c>
      <c r="K34" s="61">
        <f t="shared" ca="1" si="2"/>
        <v>33.9</v>
      </c>
      <c r="L34" s="65">
        <f t="shared" ca="1" si="10"/>
        <v>2.1853805576488364E-2</v>
      </c>
      <c r="M34" s="10">
        <v>1.6</v>
      </c>
      <c r="N34" s="61">
        <f t="shared" ca="1" si="3"/>
        <v>1.5499999999999998</v>
      </c>
      <c r="O34" s="65">
        <f t="shared" ca="1" si="11"/>
        <v>6.8965517241379226E-2</v>
      </c>
      <c r="P34" s="15">
        <v>3.7</v>
      </c>
      <c r="Q34" s="61">
        <f t="shared" ca="1" si="4"/>
        <v>3.6500000000000004</v>
      </c>
      <c r="R34" s="65">
        <f t="shared" si="12"/>
        <v>2.7777777777777801E-2</v>
      </c>
      <c r="S34" s="10">
        <v>1.5</v>
      </c>
      <c r="T34" s="61">
        <f t="shared" ca="1" si="5"/>
        <v>1.55</v>
      </c>
      <c r="U34" s="65">
        <f t="shared" si="13"/>
        <v>-0.11764705882352938</v>
      </c>
      <c r="V34" s="15">
        <v>11.2</v>
      </c>
      <c r="W34" s="53">
        <f t="shared" si="7"/>
        <v>11.2</v>
      </c>
      <c r="X34" s="61">
        <f t="shared" ca="1" si="6"/>
        <v>11.3</v>
      </c>
      <c r="Y34" s="65">
        <f t="shared" si="14"/>
        <v>-2.6086956521739191E-2</v>
      </c>
      <c r="Z34" s="53"/>
    </row>
    <row r="35" spans="2:27" ht="15.75" x14ac:dyDescent="0.2">
      <c r="B35" s="57">
        <v>2022</v>
      </c>
      <c r="C35" s="57" t="s">
        <v>3</v>
      </c>
      <c r="D35" s="15">
        <v>29.8</v>
      </c>
      <c r="E35" s="61">
        <f t="shared" ca="1" si="0"/>
        <v>29.849999999999998</v>
      </c>
      <c r="F35" s="65">
        <f t="shared" si="8"/>
        <v>6.7567567567567328E-3</v>
      </c>
      <c r="G35" s="10">
        <v>29.9</v>
      </c>
      <c r="H35" s="61">
        <f t="shared" ca="1" si="1"/>
        <v>29.825000000000003</v>
      </c>
      <c r="I35" s="65">
        <f t="shared" si="9"/>
        <v>1.7006802721088437E-2</v>
      </c>
      <c r="J35" s="15">
        <v>34</v>
      </c>
      <c r="K35" s="61">
        <f t="shared" ca="1" si="2"/>
        <v>34</v>
      </c>
      <c r="L35" s="65">
        <f t="shared" ca="1" si="10"/>
        <v>2.0255063765941616E-2</v>
      </c>
      <c r="M35" s="10">
        <v>1.6</v>
      </c>
      <c r="N35" s="61">
        <f t="shared" ca="1" si="3"/>
        <v>1.5750000000000002</v>
      </c>
      <c r="O35" s="65">
        <f t="shared" ca="1" si="11"/>
        <v>6.7796610169491581E-2</v>
      </c>
      <c r="P35" s="15">
        <v>3.6</v>
      </c>
      <c r="Q35" s="61">
        <f t="shared" ca="1" si="4"/>
        <v>3.65</v>
      </c>
      <c r="R35" s="65">
        <f t="shared" si="12"/>
        <v>0</v>
      </c>
      <c r="S35" s="10">
        <v>1.4</v>
      </c>
      <c r="T35" s="61">
        <f t="shared" ca="1" si="5"/>
        <v>1.5</v>
      </c>
      <c r="U35" s="65">
        <f t="shared" si="13"/>
        <v>-0.12500000000000011</v>
      </c>
      <c r="V35" s="15">
        <v>11</v>
      </c>
      <c r="W35" s="53">
        <f t="shared" si="7"/>
        <v>11.1</v>
      </c>
      <c r="X35" s="61">
        <f t="shared" ca="1" si="6"/>
        <v>11.2</v>
      </c>
      <c r="Y35" s="65">
        <f t="shared" si="14"/>
        <v>-3.5087719298245647E-2</v>
      </c>
      <c r="Z35" s="53"/>
    </row>
    <row r="36" spans="2:27" ht="15.75" x14ac:dyDescent="0.2">
      <c r="B36" s="57">
        <v>2022</v>
      </c>
      <c r="C36" s="57" t="s">
        <v>15</v>
      </c>
      <c r="D36" s="15">
        <v>29.7</v>
      </c>
      <c r="E36" s="61">
        <f t="shared" ca="1" si="0"/>
        <v>29.900000000000002</v>
      </c>
      <c r="F36" s="65">
        <f t="shared" si="8"/>
        <v>6.7796610169491281E-3</v>
      </c>
      <c r="G36" s="10">
        <v>29.8</v>
      </c>
      <c r="H36" s="61">
        <f t="shared" ca="1" si="1"/>
        <v>29.95</v>
      </c>
      <c r="I36" s="65">
        <f t="shared" si="9"/>
        <v>1.7064846416382253E-2</v>
      </c>
      <c r="J36" s="15">
        <v>33.9</v>
      </c>
      <c r="K36" s="61">
        <f t="shared" ca="1" si="2"/>
        <v>34.1</v>
      </c>
      <c r="L36" s="65">
        <f t="shared" ca="1" si="10"/>
        <v>1.7910447761194073E-2</v>
      </c>
      <c r="M36" s="10">
        <v>1.6</v>
      </c>
      <c r="N36" s="61">
        <f t="shared" ca="1" si="3"/>
        <v>1.6</v>
      </c>
      <c r="O36" s="65">
        <f t="shared" ca="1" si="11"/>
        <v>6.6666666666666721E-2</v>
      </c>
      <c r="P36" s="15">
        <v>3.6</v>
      </c>
      <c r="Q36" s="61">
        <f t="shared" ca="1" si="4"/>
        <v>3.65</v>
      </c>
      <c r="R36" s="65">
        <f t="shared" si="12"/>
        <v>0</v>
      </c>
      <c r="S36" s="10">
        <v>1.3</v>
      </c>
      <c r="T36" s="61">
        <f t="shared" ca="1" si="5"/>
        <v>1.425</v>
      </c>
      <c r="U36" s="65">
        <f t="shared" si="13"/>
        <v>-0.18750000000000003</v>
      </c>
      <c r="V36" s="15">
        <v>10.9</v>
      </c>
      <c r="W36" s="53">
        <f t="shared" si="7"/>
        <v>11</v>
      </c>
      <c r="X36" s="61">
        <f t="shared" ca="1" si="6"/>
        <v>11.1</v>
      </c>
      <c r="Y36" s="65">
        <f t="shared" si="14"/>
        <v>-3.5398230088495602E-2</v>
      </c>
      <c r="Z36" s="53"/>
    </row>
    <row r="37" spans="2:27" ht="15.75" x14ac:dyDescent="0.2">
      <c r="B37" s="57">
        <v>2022</v>
      </c>
      <c r="C37" s="57" t="s">
        <v>16</v>
      </c>
      <c r="D37" s="15">
        <v>30.2</v>
      </c>
      <c r="E37" s="61">
        <f t="shared" ca="1" si="0"/>
        <v>29.950000000000003</v>
      </c>
      <c r="F37" s="65">
        <f t="shared" si="8"/>
        <v>6.6666666666666428E-3</v>
      </c>
      <c r="G37" s="10">
        <v>30.5</v>
      </c>
      <c r="H37" s="61">
        <f t="shared" ca="1" si="1"/>
        <v>30.074999999999999</v>
      </c>
      <c r="I37" s="65">
        <f t="shared" si="9"/>
        <v>1.6666666666666666E-2</v>
      </c>
      <c r="J37" s="15">
        <v>34.6</v>
      </c>
      <c r="K37" s="61">
        <f t="shared" ca="1" si="2"/>
        <v>34.199999999999996</v>
      </c>
      <c r="L37" s="65">
        <f t="shared" ca="1" si="10"/>
        <v>1.4836795252225306E-2</v>
      </c>
      <c r="M37" s="10">
        <v>1.7</v>
      </c>
      <c r="N37" s="61">
        <f t="shared" ca="1" si="3"/>
        <v>1.6250000000000002</v>
      </c>
      <c r="O37" s="65">
        <f t="shared" ca="1" si="11"/>
        <v>6.557377049180349E-2</v>
      </c>
      <c r="P37" s="15">
        <v>3.7</v>
      </c>
      <c r="Q37" s="61">
        <f t="shared" ca="1" si="4"/>
        <v>3.6500000000000004</v>
      </c>
      <c r="R37" s="65">
        <f t="shared" si="12"/>
        <v>0</v>
      </c>
      <c r="S37" s="10">
        <v>1.3</v>
      </c>
      <c r="T37" s="61">
        <f t="shared" ca="1" si="5"/>
        <v>1.375</v>
      </c>
      <c r="U37" s="65">
        <f t="shared" si="13"/>
        <v>-0.1333333333333333</v>
      </c>
      <c r="V37" s="15">
        <v>10.9</v>
      </c>
      <c r="W37" s="53">
        <f t="shared" si="7"/>
        <v>10.95</v>
      </c>
      <c r="X37" s="61">
        <f t="shared" ca="1" si="6"/>
        <v>11</v>
      </c>
      <c r="Y37" s="65">
        <f t="shared" si="14"/>
        <v>-3.5398230088495602E-2</v>
      </c>
      <c r="Z37" s="53"/>
    </row>
    <row r="38" spans="2:27" ht="15.75" x14ac:dyDescent="0.2">
      <c r="B38" s="57">
        <v>2023</v>
      </c>
      <c r="C38" s="57" t="s">
        <v>18</v>
      </c>
      <c r="D38" s="15">
        <v>30.4</v>
      </c>
      <c r="E38" s="61">
        <f t="shared" ca="1" si="0"/>
        <v>30.024999999999999</v>
      </c>
      <c r="F38" s="65">
        <f t="shared" si="8"/>
        <v>9.9667774086377794E-3</v>
      </c>
      <c r="G38" s="10">
        <v>30.7</v>
      </c>
      <c r="H38" s="61">
        <f t="shared" ca="1" si="1"/>
        <v>30.225000000000001</v>
      </c>
      <c r="I38" s="65">
        <f t="shared" si="9"/>
        <v>1.9933554817275677E-2</v>
      </c>
      <c r="J38" s="15">
        <v>34.799999999999997</v>
      </c>
      <c r="K38" s="61">
        <f t="shared" ca="1" si="2"/>
        <v>34.325000000000003</v>
      </c>
      <c r="L38" s="65">
        <f t="shared" ca="1" si="10"/>
        <v>1.2536873156342309E-2</v>
      </c>
      <c r="M38" s="10">
        <v>1.7</v>
      </c>
      <c r="N38" s="61">
        <f t="shared" ca="1" si="3"/>
        <v>1.6500000000000001</v>
      </c>
      <c r="O38" s="65">
        <f t="shared" ca="1" si="11"/>
        <v>6.4516129032258271E-2</v>
      </c>
      <c r="P38" s="15">
        <v>3.7</v>
      </c>
      <c r="Q38" s="61">
        <f t="shared" ca="1" si="4"/>
        <v>3.6500000000000004</v>
      </c>
      <c r="R38" s="65">
        <f t="shared" si="12"/>
        <v>0</v>
      </c>
      <c r="S38" s="10">
        <v>1.3</v>
      </c>
      <c r="T38" s="61">
        <f t="shared" ca="1" si="5"/>
        <v>1.325</v>
      </c>
      <c r="U38" s="65">
        <f t="shared" si="13"/>
        <v>-0.1333333333333333</v>
      </c>
      <c r="V38" s="15">
        <v>11</v>
      </c>
      <c r="W38" s="53">
        <f t="shared" si="7"/>
        <v>10.875</v>
      </c>
      <c r="X38" s="61">
        <f t="shared" ca="1" si="6"/>
        <v>10.95</v>
      </c>
      <c r="Y38" s="65">
        <f t="shared" si="14"/>
        <v>-1.7857142857142794E-2</v>
      </c>
      <c r="Z38" s="53"/>
    </row>
    <row r="39" spans="2:27" ht="15.75" x14ac:dyDescent="0.2">
      <c r="B39" s="57">
        <v>2023</v>
      </c>
      <c r="C39" s="57" t="s">
        <v>3</v>
      </c>
      <c r="D39" s="15">
        <v>30.3</v>
      </c>
      <c r="E39" s="61">
        <f t="shared" ca="1" si="0"/>
        <v>30.15</v>
      </c>
      <c r="F39" s="65">
        <f t="shared" si="8"/>
        <v>1.6778523489932886E-2</v>
      </c>
      <c r="G39" s="10">
        <v>30.7</v>
      </c>
      <c r="H39" s="61">
        <f t="shared" ca="1" si="1"/>
        <v>30.425000000000001</v>
      </c>
      <c r="I39" s="65">
        <f t="shared" si="9"/>
        <v>2.6755852842809388E-2</v>
      </c>
      <c r="J39" s="15">
        <v>34.9</v>
      </c>
      <c r="K39" s="61">
        <f t="shared" ca="1" si="2"/>
        <v>34.549999999999997</v>
      </c>
      <c r="L39" s="65">
        <f t="shared" ca="1" si="10"/>
        <v>1.6176470588235209E-2</v>
      </c>
      <c r="M39" s="10">
        <v>1.7</v>
      </c>
      <c r="N39" s="61">
        <f t="shared" ca="1" si="3"/>
        <v>1.675</v>
      </c>
      <c r="O39" s="65">
        <f t="shared" ca="1" si="11"/>
        <v>6.3492063492063405E-2</v>
      </c>
      <c r="P39" s="15">
        <v>3.7</v>
      </c>
      <c r="Q39" s="61">
        <f t="shared" ca="1" si="4"/>
        <v>3.6749999999999998</v>
      </c>
      <c r="R39" s="65">
        <f t="shared" si="12"/>
        <v>2.7777777777777801E-2</v>
      </c>
      <c r="S39" s="10">
        <v>1.2</v>
      </c>
      <c r="T39" s="61">
        <f t="shared" ca="1" si="5"/>
        <v>1.2750000000000001</v>
      </c>
      <c r="U39" s="65">
        <f t="shared" si="13"/>
        <v>-0.14285714285714282</v>
      </c>
      <c r="V39" s="15">
        <v>10.7</v>
      </c>
      <c r="W39" s="53">
        <f t="shared" si="7"/>
        <v>10.774999999999999</v>
      </c>
      <c r="X39" s="61">
        <f t="shared" ca="1" si="6"/>
        <v>10.875</v>
      </c>
      <c r="Y39" s="65">
        <f t="shared" si="14"/>
        <v>-2.7272727272727337E-2</v>
      </c>
      <c r="Z39" s="47"/>
    </row>
    <row r="40" spans="2:27" ht="15.75" x14ac:dyDescent="0.2">
      <c r="B40" s="57">
        <v>2023</v>
      </c>
      <c r="C40" s="57" t="s">
        <v>15</v>
      </c>
      <c r="D40" s="15">
        <v>30.3</v>
      </c>
      <c r="E40" s="61">
        <f t="shared" ca="1" si="0"/>
        <v>30.299999999999997</v>
      </c>
      <c r="F40" s="65">
        <f t="shared" si="8"/>
        <v>2.0202020202020249E-2</v>
      </c>
      <c r="G40" s="10">
        <v>30.7</v>
      </c>
      <c r="H40" s="61">
        <f t="shared" ca="1" si="1"/>
        <v>30.650000000000002</v>
      </c>
      <c r="I40" s="65">
        <f t="shared" si="9"/>
        <v>3.0201342281879148E-2</v>
      </c>
      <c r="J40" s="15">
        <v>34.799999999999997</v>
      </c>
      <c r="K40" s="61">
        <f t="shared" ca="1" si="2"/>
        <v>34.775000000000006</v>
      </c>
      <c r="L40" s="65">
        <f t="shared" ca="1" si="10"/>
        <v>1.9794721407624758E-2</v>
      </c>
      <c r="M40" s="10">
        <v>1.7</v>
      </c>
      <c r="N40" s="61">
        <f t="shared" ca="1" si="3"/>
        <v>1.7</v>
      </c>
      <c r="O40" s="65">
        <f t="shared" ca="1" si="11"/>
        <v>6.2499999999999917E-2</v>
      </c>
      <c r="P40" s="15">
        <v>3.7</v>
      </c>
      <c r="Q40" s="61">
        <f t="shared" ca="1" si="4"/>
        <v>3.7</v>
      </c>
      <c r="R40" s="65">
        <f t="shared" si="12"/>
        <v>2.7777777777777801E-2</v>
      </c>
      <c r="S40" s="10">
        <v>1.2</v>
      </c>
      <c r="T40" s="61">
        <f t="shared" ca="1" si="5"/>
        <v>1.25</v>
      </c>
      <c r="U40" s="65">
        <f t="shared" si="13"/>
        <v>-7.6923076923076983E-2</v>
      </c>
      <c r="V40" s="15">
        <v>10.5</v>
      </c>
      <c r="W40" s="53">
        <f t="shared" si="7"/>
        <v>10.5</v>
      </c>
      <c r="X40" s="61">
        <f t="shared" ca="1" si="6"/>
        <v>10.774999999999999</v>
      </c>
      <c r="Y40" s="65">
        <f t="shared" si="14"/>
        <v>-3.6697247706422048E-2</v>
      </c>
      <c r="Z40" s="47"/>
    </row>
    <row r="41" spans="2:27" ht="15.75" x14ac:dyDescent="0.2">
      <c r="B41" s="57">
        <v>2023</v>
      </c>
      <c r="C41" s="57" t="s">
        <v>16</v>
      </c>
      <c r="D41" s="15">
        <v>30.6</v>
      </c>
      <c r="E41" s="61">
        <f t="shared" ca="1" si="0"/>
        <v>30.4</v>
      </c>
      <c r="F41" s="65">
        <f t="shared" si="8"/>
        <v>1.3245033112582853E-2</v>
      </c>
      <c r="G41" s="10">
        <v>31.1</v>
      </c>
      <c r="H41" s="61">
        <f t="shared" ca="1" si="1"/>
        <v>30.799999999999997</v>
      </c>
      <c r="I41" s="65">
        <f t="shared" si="9"/>
        <v>1.967213114754103E-2</v>
      </c>
      <c r="J41" s="15">
        <v>35.200000000000003</v>
      </c>
      <c r="K41" s="61">
        <f t="shared" ca="1" si="2"/>
        <v>34.924999999999997</v>
      </c>
      <c r="L41" s="65">
        <f t="shared" ca="1" si="10"/>
        <v>2.1198830409356769E-2</v>
      </c>
      <c r="M41" s="10">
        <v>1.8</v>
      </c>
      <c r="N41" s="61">
        <f t="shared" ca="1" si="3"/>
        <v>1.7249999999999999</v>
      </c>
      <c r="O41" s="65">
        <f t="shared" ca="1" si="11"/>
        <v>6.1538461538461313E-2</v>
      </c>
      <c r="P41" s="15">
        <v>3.8</v>
      </c>
      <c r="Q41" s="61">
        <f t="shared" ca="1" si="4"/>
        <v>3.7250000000000005</v>
      </c>
      <c r="R41" s="65">
        <f t="shared" si="12"/>
        <v>2.7027027027026931E-2</v>
      </c>
      <c r="S41" s="10">
        <v>1.2</v>
      </c>
      <c r="T41" s="61">
        <f t="shared" ca="1" si="5"/>
        <v>1.2250000000000001</v>
      </c>
      <c r="U41" s="65">
        <f t="shared" si="13"/>
        <v>-7.6923076923076983E-2</v>
      </c>
      <c r="V41" s="15">
        <v>9.8000000000000007</v>
      </c>
      <c r="W41" s="53">
        <f t="shared" si="7"/>
        <v>10.199999999999999</v>
      </c>
      <c r="X41" s="61">
        <f t="shared" ca="1" si="6"/>
        <v>10.5</v>
      </c>
      <c r="Y41" s="65">
        <f t="shared" si="14"/>
        <v>-0.10091743119266051</v>
      </c>
      <c r="Z41" s="47"/>
    </row>
    <row r="42" spans="2:27" ht="15.75" x14ac:dyDescent="0.2">
      <c r="B42" s="57">
        <v>2024</v>
      </c>
      <c r="C42" s="57" t="s">
        <v>18</v>
      </c>
      <c r="D42" s="15">
        <v>30.5</v>
      </c>
      <c r="E42" s="61">
        <f t="shared" ca="1" si="0"/>
        <v>30.425000000000001</v>
      </c>
      <c r="F42" s="65">
        <f t="shared" si="8"/>
        <v>3.2894736842105734E-3</v>
      </c>
      <c r="G42" s="10">
        <v>31</v>
      </c>
      <c r="H42" s="61">
        <f t="shared" ca="1" si="1"/>
        <v>30.875</v>
      </c>
      <c r="I42" s="65">
        <f t="shared" si="9"/>
        <v>9.7719869706840625E-3</v>
      </c>
      <c r="J42" s="15">
        <v>35.1</v>
      </c>
      <c r="K42" s="61">
        <f t="shared" ca="1" si="2"/>
        <v>35</v>
      </c>
      <c r="L42" s="65">
        <f t="shared" ca="1" si="10"/>
        <v>1.9664967225054539E-2</v>
      </c>
      <c r="M42" s="10">
        <v>1.8</v>
      </c>
      <c r="N42" s="61">
        <f t="shared" ca="1" si="3"/>
        <v>1.75</v>
      </c>
      <c r="O42" s="65">
        <f t="shared" ca="1" si="11"/>
        <v>6.0606060606060518E-2</v>
      </c>
      <c r="P42" s="15">
        <v>3.7</v>
      </c>
      <c r="Q42" s="61">
        <f t="shared" ca="1" si="4"/>
        <v>3.7249999999999996</v>
      </c>
      <c r="R42" s="65">
        <f t="shared" si="12"/>
        <v>0</v>
      </c>
      <c r="S42" s="10">
        <v>1.1000000000000001</v>
      </c>
      <c r="T42" s="61">
        <f t="shared" ca="1" si="5"/>
        <v>1.1749999999999998</v>
      </c>
      <c r="U42" s="65">
        <f t="shared" si="13"/>
        <v>-0.1538461538461538</v>
      </c>
      <c r="V42" s="15">
        <v>9.8000000000000007</v>
      </c>
      <c r="W42" s="53">
        <f t="shared" si="7"/>
        <v>9.9499999999999993</v>
      </c>
      <c r="X42" s="61">
        <f t="shared" ca="1" si="6"/>
        <v>10.199999999999999</v>
      </c>
      <c r="Y42" s="65">
        <f t="shared" si="14"/>
        <v>-0.10909090909090903</v>
      </c>
      <c r="Z42" s="47"/>
    </row>
    <row r="43" spans="2:27" ht="15.75" x14ac:dyDescent="0.2">
      <c r="B43" s="57">
        <v>2024</v>
      </c>
      <c r="C43" s="57" t="s">
        <v>3</v>
      </c>
      <c r="D43" s="15">
        <v>30.2</v>
      </c>
      <c r="E43" s="61">
        <f t="shared" ca="1" si="0"/>
        <v>30.400000000000002</v>
      </c>
      <c r="F43" s="65">
        <f t="shared" si="8"/>
        <v>-3.3003300330033472E-3</v>
      </c>
      <c r="G43" s="10">
        <v>30.7</v>
      </c>
      <c r="H43" s="61">
        <f t="shared" ca="1" si="1"/>
        <v>30.875</v>
      </c>
      <c r="I43" s="65">
        <f t="shared" si="9"/>
        <v>0</v>
      </c>
      <c r="J43" s="15">
        <v>34.799999999999997</v>
      </c>
      <c r="K43" s="61">
        <f t="shared" ca="1" si="2"/>
        <v>34.974999999999994</v>
      </c>
      <c r="L43" s="65">
        <f t="shared" ca="1" si="10"/>
        <v>1.2301013024601945E-2</v>
      </c>
      <c r="M43" s="10">
        <v>1.8</v>
      </c>
      <c r="N43" s="61">
        <f t="shared" ca="1" si="3"/>
        <v>1.7749999999999999</v>
      </c>
      <c r="O43" s="65">
        <f t="shared" ca="1" si="11"/>
        <v>5.9701492537313348E-2</v>
      </c>
      <c r="P43" s="15">
        <v>3.6</v>
      </c>
      <c r="Q43" s="61">
        <f t="shared" ca="1" si="4"/>
        <v>3.6999999999999997</v>
      </c>
      <c r="R43" s="65">
        <f t="shared" si="12"/>
        <v>-2.7027027027027049E-2</v>
      </c>
      <c r="S43" s="10">
        <v>1.1000000000000001</v>
      </c>
      <c r="T43" s="61">
        <f t="shared" ca="1" si="5"/>
        <v>1.1499999999999999</v>
      </c>
      <c r="U43" s="65">
        <f t="shared" si="13"/>
        <v>-8.3333333333333232E-2</v>
      </c>
      <c r="V43" s="15">
        <v>9.6999999999999993</v>
      </c>
      <c r="W43" s="53">
        <f t="shared" si="7"/>
        <v>9.6999999999999993</v>
      </c>
      <c r="X43" s="61">
        <f t="shared" ca="1" si="6"/>
        <v>9.9499999999999993</v>
      </c>
      <c r="Y43" s="65">
        <f t="shared" si="14"/>
        <v>-9.3457943925233655E-2</v>
      </c>
    </row>
    <row r="44" spans="2:27" ht="15.75" x14ac:dyDescent="0.2">
      <c r="B44" s="57">
        <v>2024</v>
      </c>
      <c r="C44" s="57" t="s">
        <v>15</v>
      </c>
      <c r="D44" s="15">
        <v>29.8</v>
      </c>
      <c r="E44" s="61">
        <f t="shared" ca="1" si="0"/>
        <v>30.274999999999999</v>
      </c>
      <c r="F44" s="65">
        <f t="shared" si="8"/>
        <v>-1.65016501650165E-2</v>
      </c>
      <c r="G44" s="10">
        <v>30.4</v>
      </c>
      <c r="H44" s="61">
        <f t="shared" ca="1" si="1"/>
        <v>30.799999999999997</v>
      </c>
      <c r="I44" s="65">
        <f t="shared" si="9"/>
        <v>-9.7719869706840625E-3</v>
      </c>
      <c r="J44" s="15">
        <v>34.4</v>
      </c>
      <c r="K44" s="61">
        <f t="shared" ca="1" si="2"/>
        <v>34.875</v>
      </c>
      <c r="L44" s="65">
        <f t="shared" ca="1" si="10"/>
        <v>2.8756290438531791E-3</v>
      </c>
      <c r="M44" s="10">
        <v>1.7</v>
      </c>
      <c r="N44" s="61">
        <f t="shared" ca="1" si="3"/>
        <v>1.7750000000000001</v>
      </c>
      <c r="O44" s="65">
        <f t="shared" ca="1" si="11"/>
        <v>4.4117647058823636E-2</v>
      </c>
      <c r="P44" s="15">
        <v>3.5</v>
      </c>
      <c r="Q44" s="61">
        <f t="shared" ca="1" si="4"/>
        <v>3.65</v>
      </c>
      <c r="R44" s="65">
        <f t="shared" si="12"/>
        <v>-5.4054054054054099E-2</v>
      </c>
      <c r="S44" s="10">
        <v>1.1000000000000001</v>
      </c>
      <c r="T44" s="61">
        <f t="shared" ca="1" si="5"/>
        <v>1.125</v>
      </c>
      <c r="U44" s="65">
        <f t="shared" si="13"/>
        <v>-8.3333333333333232E-2</v>
      </c>
      <c r="V44" s="15">
        <v>9.5</v>
      </c>
      <c r="W44" s="53">
        <f t="shared" si="7"/>
        <v>9.625</v>
      </c>
      <c r="X44" s="61">
        <f t="shared" ca="1" si="6"/>
        <v>9.6999999999999993</v>
      </c>
      <c r="Y44" s="65">
        <f t="shared" si="14"/>
        <v>-9.5238095238095233E-2</v>
      </c>
    </row>
    <row r="45" spans="2:27" ht="15.75" x14ac:dyDescent="0.2">
      <c r="B45" s="57">
        <v>2024</v>
      </c>
      <c r="C45" s="57" t="s">
        <v>16</v>
      </c>
      <c r="D45" s="15">
        <v>30.2</v>
      </c>
      <c r="E45" s="61">
        <f t="shared" ca="1" si="0"/>
        <v>30.175000000000001</v>
      </c>
      <c r="F45" s="65">
        <f t="shared" si="8"/>
        <v>-1.3071895424836671E-2</v>
      </c>
      <c r="G45" s="10">
        <v>30.9</v>
      </c>
      <c r="H45" s="61">
        <f t="shared" ca="1" si="1"/>
        <v>30.75</v>
      </c>
      <c r="I45" s="65">
        <f t="shared" si="9"/>
        <v>-6.4308681672026633E-3</v>
      </c>
      <c r="J45" s="15">
        <v>34.9</v>
      </c>
      <c r="K45" s="61">
        <f t="shared" ca="1" si="2"/>
        <v>34.800000000000004</v>
      </c>
      <c r="L45" s="65">
        <f t="shared" ca="1" si="10"/>
        <v>-3.5790980672868403E-3</v>
      </c>
      <c r="M45" s="10">
        <v>1.8</v>
      </c>
      <c r="N45" s="61">
        <f t="shared" ca="1" si="3"/>
        <v>1.7749999999999999</v>
      </c>
      <c r="O45" s="65">
        <f t="shared" ca="1" si="11"/>
        <v>2.898550724637684E-2</v>
      </c>
      <c r="P45" s="15">
        <v>3.6</v>
      </c>
      <c r="Q45" s="61">
        <f t="shared" ca="1" si="4"/>
        <v>3.6</v>
      </c>
      <c r="R45" s="65">
        <f t="shared" si="12"/>
        <v>-5.2631578947368356E-2</v>
      </c>
      <c r="S45" s="10">
        <v>1</v>
      </c>
      <c r="T45" s="61">
        <f t="shared" ca="1" si="5"/>
        <v>1.0750000000000002</v>
      </c>
      <c r="U45" s="65">
        <f t="shared" si="13"/>
        <v>-0.16666666666666663</v>
      </c>
      <c r="V45" s="15">
        <v>9.5</v>
      </c>
      <c r="W45" s="53">
        <f>AVERAGE(V43:V45)</f>
        <v>9.5666666666666664</v>
      </c>
      <c r="X45" s="61">
        <f t="shared" ca="1" si="6"/>
        <v>9.625</v>
      </c>
      <c r="Y45" s="65">
        <f t="shared" si="14"/>
        <v>-3.0612244897959252E-2</v>
      </c>
    </row>
    <row r="48" spans="2:27" x14ac:dyDescent="0.2">
      <c r="B48" s="50" t="s">
        <v>46</v>
      </c>
    </row>
    <row r="49" spans="3:3" x14ac:dyDescent="0.2">
      <c r="C49" s="51"/>
    </row>
  </sheetData>
  <mergeCells count="1">
    <mergeCell ref="Z31:AG31"/>
  </mergeCells>
  <phoneticPr fontId="12" type="noConversion"/>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1475B-B534-4F2A-94F1-476B0D735F51}">
  <dimension ref="A1:H563"/>
  <sheetViews>
    <sheetView zoomScale="115" zoomScaleNormal="115" workbookViewId="0">
      <selection activeCell="I5" sqref="I5"/>
    </sheetView>
  </sheetViews>
  <sheetFormatPr defaultRowHeight="12.75" x14ac:dyDescent="0.2"/>
  <cols>
    <col min="1" max="1" width="19.7109375" bestFit="1" customWidth="1"/>
    <col min="2" max="2" width="12.42578125" bestFit="1" customWidth="1"/>
    <col min="3" max="3" width="52" bestFit="1" customWidth="1"/>
    <col min="4" max="4" width="26.85546875" bestFit="1" customWidth="1"/>
    <col min="5" max="5" width="13.140625" style="54" customWidth="1"/>
    <col min="6" max="6" width="37.28515625" style="54" customWidth="1"/>
    <col min="7" max="7" width="6.85546875" customWidth="1"/>
    <col min="8" max="8" width="14.42578125" bestFit="1" customWidth="1"/>
    <col min="9" max="9" width="38" customWidth="1"/>
    <col min="10" max="10" width="46.7109375" bestFit="1" customWidth="1"/>
    <col min="11" max="11" width="39.42578125" bestFit="1" customWidth="1"/>
    <col min="12" max="12" width="41.85546875" bestFit="1" customWidth="1"/>
    <col min="13" max="13" width="34.7109375" bestFit="1" customWidth="1"/>
    <col min="14" max="14" width="47" bestFit="1" customWidth="1"/>
    <col min="15" max="15" width="39.7109375" bestFit="1" customWidth="1"/>
    <col min="16" max="127" width="54" bestFit="1" customWidth="1"/>
    <col min="128" max="128" width="56.7109375" bestFit="1" customWidth="1"/>
    <col min="129" max="129" width="49.42578125" bestFit="1" customWidth="1"/>
    <col min="130" max="130" width="58.85546875" bestFit="1" customWidth="1"/>
  </cols>
  <sheetData>
    <row r="1" spans="1:7" x14ac:dyDescent="0.2">
      <c r="A1" s="51" t="s">
        <v>64</v>
      </c>
    </row>
    <row r="2" spans="1:7" x14ac:dyDescent="0.2">
      <c r="A2" s="50" t="s">
        <v>75</v>
      </c>
      <c r="C2" s="113" t="s">
        <v>78</v>
      </c>
    </row>
    <row r="3" spans="1:7" x14ac:dyDescent="0.2">
      <c r="A3" s="93" t="s">
        <v>20</v>
      </c>
      <c r="B3" s="93" t="s">
        <v>22</v>
      </c>
      <c r="C3" s="93" t="s">
        <v>19</v>
      </c>
      <c r="D3" s="93" t="s">
        <v>57</v>
      </c>
      <c r="E3" s="94" t="s">
        <v>61</v>
      </c>
      <c r="F3" s="93" t="s">
        <v>76</v>
      </c>
    </row>
    <row r="4" spans="1:7" ht="15.75" x14ac:dyDescent="0.2">
      <c r="A4" s="8">
        <v>2015</v>
      </c>
      <c r="B4" s="91" t="s">
        <v>18</v>
      </c>
      <c r="C4" s="58" t="s">
        <v>58</v>
      </c>
      <c r="D4" s="51" t="s">
        <v>59</v>
      </c>
      <c r="E4" s="92">
        <v>258</v>
      </c>
      <c r="F4" s="54">
        <f t="shared" ref="F4:F66" si="0">E4/E5</f>
        <v>8.9273356401384092</v>
      </c>
      <c r="G4" s="50"/>
    </row>
    <row r="5" spans="1:7" ht="15.75" x14ac:dyDescent="0.2">
      <c r="A5" s="28">
        <v>2015</v>
      </c>
      <c r="B5" s="6" t="s">
        <v>18</v>
      </c>
      <c r="C5" s="48" t="s">
        <v>58</v>
      </c>
      <c r="D5" s="51" t="s">
        <v>60</v>
      </c>
      <c r="E5" s="76">
        <v>28.9</v>
      </c>
    </row>
    <row r="6" spans="1:7" ht="15.75" x14ac:dyDescent="0.2">
      <c r="A6" s="28">
        <v>2015</v>
      </c>
      <c r="B6" s="6" t="s">
        <v>18</v>
      </c>
      <c r="C6" s="49" t="s">
        <v>5</v>
      </c>
      <c r="D6" s="51" t="s">
        <v>59</v>
      </c>
      <c r="E6" s="77">
        <v>373</v>
      </c>
      <c r="F6" s="54">
        <f t="shared" si="0"/>
        <v>14.022556390977442</v>
      </c>
    </row>
    <row r="7" spans="1:7" ht="15.75" x14ac:dyDescent="0.2">
      <c r="A7" s="28">
        <v>2015</v>
      </c>
      <c r="B7" s="6" t="s">
        <v>18</v>
      </c>
      <c r="C7" s="49" t="s">
        <v>5</v>
      </c>
      <c r="D7" s="51" t="s">
        <v>60</v>
      </c>
      <c r="E7" s="78">
        <v>26.6</v>
      </c>
      <c r="G7" s="51"/>
    </row>
    <row r="8" spans="1:7" ht="15.75" x14ac:dyDescent="0.2">
      <c r="A8" s="28">
        <v>2015</v>
      </c>
      <c r="B8" s="6" t="s">
        <v>18</v>
      </c>
      <c r="C8" s="48" t="s">
        <v>6</v>
      </c>
      <c r="D8" s="51" t="s">
        <v>59</v>
      </c>
      <c r="E8" s="75">
        <v>630.9</v>
      </c>
      <c r="F8" s="54">
        <f t="shared" si="0"/>
        <v>19.902208201892744</v>
      </c>
    </row>
    <row r="9" spans="1:7" ht="15.75" x14ac:dyDescent="0.2">
      <c r="A9" s="28">
        <v>2015</v>
      </c>
      <c r="B9" s="6" t="s">
        <v>18</v>
      </c>
      <c r="C9" s="48" t="s">
        <v>6</v>
      </c>
      <c r="D9" s="51" t="s">
        <v>60</v>
      </c>
      <c r="E9" s="76">
        <v>31.7</v>
      </c>
    </row>
    <row r="10" spans="1:7" ht="15.75" x14ac:dyDescent="0.2">
      <c r="A10" s="28">
        <v>2015</v>
      </c>
      <c r="B10" s="6" t="s">
        <v>18</v>
      </c>
      <c r="C10" s="49" t="s">
        <v>7</v>
      </c>
      <c r="D10" s="51" t="s">
        <v>59</v>
      </c>
      <c r="E10" s="77">
        <v>40.9</v>
      </c>
      <c r="F10" s="54">
        <f t="shared" si="0"/>
        <v>40.9</v>
      </c>
    </row>
    <row r="11" spans="1:7" ht="15.75" x14ac:dyDescent="0.2">
      <c r="A11" s="28">
        <v>2015</v>
      </c>
      <c r="B11" s="6" t="s">
        <v>18</v>
      </c>
      <c r="C11" s="49" t="s">
        <v>7</v>
      </c>
      <c r="D11" s="51" t="s">
        <v>60</v>
      </c>
      <c r="E11" s="78">
        <v>1</v>
      </c>
    </row>
    <row r="12" spans="1:7" ht="15.75" x14ac:dyDescent="0.2">
      <c r="A12" s="28">
        <v>2015</v>
      </c>
      <c r="B12" s="6" t="s">
        <v>18</v>
      </c>
      <c r="C12" s="48" t="s">
        <v>8</v>
      </c>
      <c r="D12" s="51" t="s">
        <v>59</v>
      </c>
      <c r="E12" s="75">
        <v>65.099999999999994</v>
      </c>
      <c r="F12" s="54">
        <f t="shared" si="0"/>
        <v>20.343749999999996</v>
      </c>
    </row>
    <row r="13" spans="1:7" ht="15.75" x14ac:dyDescent="0.2">
      <c r="A13" s="28">
        <v>2015</v>
      </c>
      <c r="B13" s="6" t="s">
        <v>18</v>
      </c>
      <c r="C13" s="48" t="s">
        <v>8</v>
      </c>
      <c r="D13" s="51" t="s">
        <v>60</v>
      </c>
      <c r="E13" s="76">
        <v>3.2</v>
      </c>
    </row>
    <row r="14" spans="1:7" ht="15.75" x14ac:dyDescent="0.2">
      <c r="A14" s="28">
        <v>2015</v>
      </c>
      <c r="B14" s="6" t="s">
        <v>18</v>
      </c>
      <c r="C14" s="49" t="s">
        <v>9</v>
      </c>
      <c r="D14" s="51" t="s">
        <v>59</v>
      </c>
      <c r="E14" s="77">
        <v>8.1999999999999993</v>
      </c>
      <c r="F14" s="54">
        <f t="shared" si="0"/>
        <v>2.7333333333333329</v>
      </c>
    </row>
    <row r="15" spans="1:7" ht="15.75" x14ac:dyDescent="0.2">
      <c r="A15" s="28">
        <v>2015</v>
      </c>
      <c r="B15" s="6" t="s">
        <v>18</v>
      </c>
      <c r="C15" s="49" t="s">
        <v>9</v>
      </c>
      <c r="D15" s="51" t="s">
        <v>60</v>
      </c>
      <c r="E15" s="78">
        <v>3</v>
      </c>
    </row>
    <row r="16" spans="1:7" ht="15.75" x14ac:dyDescent="0.2">
      <c r="A16" s="28">
        <v>2015</v>
      </c>
      <c r="B16" s="6" t="s">
        <v>18</v>
      </c>
      <c r="C16" s="48" t="s">
        <v>10</v>
      </c>
      <c r="D16" s="51" t="s">
        <v>59</v>
      </c>
      <c r="E16" s="75">
        <v>394.9</v>
      </c>
      <c r="F16" s="54">
        <f t="shared" si="0"/>
        <v>33.184873949579831</v>
      </c>
    </row>
    <row r="17" spans="1:6" ht="15.75" x14ac:dyDescent="0.2">
      <c r="A17" s="28">
        <v>2015</v>
      </c>
      <c r="B17" s="6" t="s">
        <v>18</v>
      </c>
      <c r="C17" s="48" t="s">
        <v>10</v>
      </c>
      <c r="D17" s="51" t="s">
        <v>60</v>
      </c>
      <c r="E17" s="76">
        <v>11.9</v>
      </c>
    </row>
    <row r="18" spans="1:6" ht="15.75" x14ac:dyDescent="0.2">
      <c r="A18" s="28">
        <v>2015</v>
      </c>
      <c r="B18" s="6" t="s">
        <v>3</v>
      </c>
      <c r="C18" s="48" t="s">
        <v>58</v>
      </c>
      <c r="D18" s="51" t="s">
        <v>59</v>
      </c>
      <c r="E18" s="75">
        <v>262.89999999999998</v>
      </c>
      <c r="F18" s="54">
        <f t="shared" si="0"/>
        <v>9.1284722222222214</v>
      </c>
    </row>
    <row r="19" spans="1:6" ht="15.75" x14ac:dyDescent="0.2">
      <c r="A19" s="28">
        <v>2015</v>
      </c>
      <c r="B19" s="6" t="s">
        <v>3</v>
      </c>
      <c r="C19" s="48" t="s">
        <v>58</v>
      </c>
      <c r="D19" s="51" t="s">
        <v>60</v>
      </c>
      <c r="E19" s="76">
        <v>28.8</v>
      </c>
    </row>
    <row r="20" spans="1:6" ht="15.75" x14ac:dyDescent="0.2">
      <c r="A20" s="28">
        <v>2015</v>
      </c>
      <c r="B20" s="6" t="s">
        <v>3</v>
      </c>
      <c r="C20" s="49" t="s">
        <v>5</v>
      </c>
      <c r="D20" s="51" t="s">
        <v>59</v>
      </c>
      <c r="E20" s="77">
        <v>388.4</v>
      </c>
      <c r="F20" s="54">
        <f t="shared" si="0"/>
        <v>14.656603773584905</v>
      </c>
    </row>
    <row r="21" spans="1:6" ht="15.75" x14ac:dyDescent="0.2">
      <c r="A21" s="28">
        <v>2015</v>
      </c>
      <c r="B21" s="6" t="s">
        <v>3</v>
      </c>
      <c r="C21" s="49" t="s">
        <v>5</v>
      </c>
      <c r="D21" s="51" t="s">
        <v>60</v>
      </c>
      <c r="E21" s="78">
        <v>26.5</v>
      </c>
    </row>
    <row r="22" spans="1:6" ht="15.75" x14ac:dyDescent="0.2">
      <c r="A22" s="28">
        <v>2015</v>
      </c>
      <c r="B22" s="6" t="s">
        <v>3</v>
      </c>
      <c r="C22" s="48" t="s">
        <v>6</v>
      </c>
      <c r="D22" s="51" t="s">
        <v>59</v>
      </c>
      <c r="E22" s="75">
        <v>651.29999999999995</v>
      </c>
      <c r="F22" s="54">
        <f t="shared" si="0"/>
        <v>20.676190476190474</v>
      </c>
    </row>
    <row r="23" spans="1:6" ht="15.75" x14ac:dyDescent="0.2">
      <c r="A23" s="28">
        <v>2015</v>
      </c>
      <c r="B23" s="6" t="s">
        <v>3</v>
      </c>
      <c r="C23" s="48" t="s">
        <v>6</v>
      </c>
      <c r="D23" s="51" t="s">
        <v>60</v>
      </c>
      <c r="E23" s="76">
        <v>31.5</v>
      </c>
    </row>
    <row r="24" spans="1:6" ht="15.75" x14ac:dyDescent="0.2">
      <c r="A24" s="28">
        <v>2015</v>
      </c>
      <c r="B24" s="6" t="s">
        <v>3</v>
      </c>
      <c r="C24" s="49" t="s">
        <v>7</v>
      </c>
      <c r="D24" s="51" t="s">
        <v>59</v>
      </c>
      <c r="E24" s="77">
        <v>43.4</v>
      </c>
      <c r="F24" s="54">
        <f t="shared" si="0"/>
        <v>43.4</v>
      </c>
    </row>
    <row r="25" spans="1:6" ht="15.75" x14ac:dyDescent="0.2">
      <c r="A25" s="28">
        <v>2015</v>
      </c>
      <c r="B25" s="6" t="s">
        <v>3</v>
      </c>
      <c r="C25" s="49" t="s">
        <v>7</v>
      </c>
      <c r="D25" s="51" t="s">
        <v>60</v>
      </c>
      <c r="E25" s="78">
        <v>1</v>
      </c>
    </row>
    <row r="26" spans="1:6" ht="15.75" x14ac:dyDescent="0.2">
      <c r="A26" s="28">
        <v>2015</v>
      </c>
      <c r="B26" s="6" t="s">
        <v>3</v>
      </c>
      <c r="C26" s="48" t="s">
        <v>8</v>
      </c>
      <c r="D26" s="51" t="s">
        <v>59</v>
      </c>
      <c r="E26" s="75">
        <v>68.7</v>
      </c>
      <c r="F26" s="54">
        <f t="shared" si="0"/>
        <v>21.46875</v>
      </c>
    </row>
    <row r="27" spans="1:6" ht="15.75" x14ac:dyDescent="0.2">
      <c r="A27" s="28">
        <v>2015</v>
      </c>
      <c r="B27" s="6" t="s">
        <v>3</v>
      </c>
      <c r="C27" s="48" t="s">
        <v>8</v>
      </c>
      <c r="D27" s="51" t="s">
        <v>60</v>
      </c>
      <c r="E27" s="76">
        <v>3.2</v>
      </c>
    </row>
    <row r="28" spans="1:6" ht="15.75" x14ac:dyDescent="0.2">
      <c r="A28" s="28">
        <v>2015</v>
      </c>
      <c r="B28" s="6" t="s">
        <v>3</v>
      </c>
      <c r="C28" s="49" t="s">
        <v>9</v>
      </c>
      <c r="D28" s="51" t="s">
        <v>59</v>
      </c>
      <c r="E28" s="77">
        <v>8.3000000000000007</v>
      </c>
      <c r="F28" s="54">
        <f t="shared" si="0"/>
        <v>2.8620689655172415</v>
      </c>
    </row>
    <row r="29" spans="1:6" ht="15.75" x14ac:dyDescent="0.2">
      <c r="A29" s="28">
        <v>2015</v>
      </c>
      <c r="B29" s="6" t="s">
        <v>3</v>
      </c>
      <c r="C29" s="49" t="s">
        <v>9</v>
      </c>
      <c r="D29" s="51" t="s">
        <v>60</v>
      </c>
      <c r="E29" s="78">
        <v>2.9</v>
      </c>
    </row>
    <row r="30" spans="1:6" ht="15.75" x14ac:dyDescent="0.2">
      <c r="A30" s="28">
        <v>2015</v>
      </c>
      <c r="B30" s="6" t="s">
        <v>3</v>
      </c>
      <c r="C30" s="48" t="s">
        <v>10</v>
      </c>
      <c r="D30" s="51" t="s">
        <v>59</v>
      </c>
      <c r="E30" s="75">
        <v>402.8</v>
      </c>
      <c r="F30" s="54">
        <f t="shared" si="0"/>
        <v>33.84873949579832</v>
      </c>
    </row>
    <row r="31" spans="1:6" ht="15.75" x14ac:dyDescent="0.2">
      <c r="A31" s="28">
        <v>2015</v>
      </c>
      <c r="B31" s="6" t="s">
        <v>3</v>
      </c>
      <c r="C31" s="48" t="s">
        <v>10</v>
      </c>
      <c r="D31" s="51" t="s">
        <v>60</v>
      </c>
      <c r="E31" s="76">
        <v>11.9</v>
      </c>
    </row>
    <row r="32" spans="1:6" ht="15.75" x14ac:dyDescent="0.2">
      <c r="A32" s="28">
        <v>2015</v>
      </c>
      <c r="B32" s="6" t="s">
        <v>15</v>
      </c>
      <c r="C32" s="48" t="s">
        <v>58</v>
      </c>
      <c r="D32" s="51" t="s">
        <v>59</v>
      </c>
      <c r="E32" s="75">
        <v>260.7</v>
      </c>
      <c r="F32" s="54">
        <f t="shared" si="0"/>
        <v>9.1473684210526311</v>
      </c>
    </row>
    <row r="33" spans="1:6" ht="15.75" x14ac:dyDescent="0.2">
      <c r="A33" s="28">
        <v>2015</v>
      </c>
      <c r="B33" s="6" t="s">
        <v>15</v>
      </c>
      <c r="C33" s="48" t="s">
        <v>58</v>
      </c>
      <c r="D33" s="51" t="s">
        <v>60</v>
      </c>
      <c r="E33" s="76">
        <v>28.5</v>
      </c>
    </row>
    <row r="34" spans="1:6" ht="15.75" x14ac:dyDescent="0.2">
      <c r="A34" s="28">
        <v>2015</v>
      </c>
      <c r="B34" s="6" t="s">
        <v>15</v>
      </c>
      <c r="C34" s="49" t="s">
        <v>5</v>
      </c>
      <c r="D34" s="51" t="s">
        <v>59</v>
      </c>
      <c r="E34" s="77">
        <v>390.8</v>
      </c>
      <c r="F34" s="54">
        <f t="shared" si="0"/>
        <v>14.803030303030305</v>
      </c>
    </row>
    <row r="35" spans="1:6" ht="15.75" x14ac:dyDescent="0.2">
      <c r="A35" s="28">
        <v>2015</v>
      </c>
      <c r="B35" s="6" t="s">
        <v>15</v>
      </c>
      <c r="C35" s="49" t="s">
        <v>5</v>
      </c>
      <c r="D35" s="51" t="s">
        <v>60</v>
      </c>
      <c r="E35" s="78">
        <v>26.4</v>
      </c>
    </row>
    <row r="36" spans="1:6" ht="15.75" x14ac:dyDescent="0.2">
      <c r="A36" s="28">
        <v>2015</v>
      </c>
      <c r="B36" s="6" t="s">
        <v>15</v>
      </c>
      <c r="C36" s="48" t="s">
        <v>6</v>
      </c>
      <c r="D36" s="51" t="s">
        <v>59</v>
      </c>
      <c r="E36" s="75">
        <v>651.6</v>
      </c>
      <c r="F36" s="54">
        <f t="shared" si="0"/>
        <v>20.817891373801917</v>
      </c>
    </row>
    <row r="37" spans="1:6" ht="15.75" x14ac:dyDescent="0.2">
      <c r="A37" s="28">
        <v>2015</v>
      </c>
      <c r="B37" s="6" t="s">
        <v>15</v>
      </c>
      <c r="C37" s="48" t="s">
        <v>6</v>
      </c>
      <c r="D37" s="51" t="s">
        <v>60</v>
      </c>
      <c r="E37" s="76">
        <v>31.3</v>
      </c>
    </row>
    <row r="38" spans="1:6" ht="15.75" x14ac:dyDescent="0.2">
      <c r="A38" s="28">
        <v>2015</v>
      </c>
      <c r="B38" s="6" t="s">
        <v>15</v>
      </c>
      <c r="C38" s="49" t="s">
        <v>7</v>
      </c>
      <c r="D38" s="51" t="s">
        <v>59</v>
      </c>
      <c r="E38" s="77">
        <v>44.1</v>
      </c>
      <c r="F38" s="54">
        <f t="shared" si="0"/>
        <v>44.1</v>
      </c>
    </row>
    <row r="39" spans="1:6" ht="15.75" x14ac:dyDescent="0.2">
      <c r="A39" s="28">
        <v>2015</v>
      </c>
      <c r="B39" s="6" t="s">
        <v>15</v>
      </c>
      <c r="C39" s="49" t="s">
        <v>7</v>
      </c>
      <c r="D39" s="51" t="s">
        <v>60</v>
      </c>
      <c r="E39" s="78">
        <v>1</v>
      </c>
    </row>
    <row r="40" spans="1:6" ht="15.75" x14ac:dyDescent="0.2">
      <c r="A40" s="28">
        <v>2015</v>
      </c>
      <c r="B40" s="6" t="s">
        <v>15</v>
      </c>
      <c r="C40" s="48" t="s">
        <v>8</v>
      </c>
      <c r="D40" s="51" t="s">
        <v>59</v>
      </c>
      <c r="E40" s="75">
        <v>68</v>
      </c>
      <c r="F40" s="54">
        <f t="shared" si="0"/>
        <v>21.93548387096774</v>
      </c>
    </row>
    <row r="41" spans="1:6" ht="15.75" x14ac:dyDescent="0.2">
      <c r="A41" s="28">
        <v>2015</v>
      </c>
      <c r="B41" s="6" t="s">
        <v>15</v>
      </c>
      <c r="C41" s="48" t="s">
        <v>8</v>
      </c>
      <c r="D41" s="51" t="s">
        <v>60</v>
      </c>
      <c r="E41" s="76">
        <v>3.1</v>
      </c>
    </row>
    <row r="42" spans="1:6" ht="15.75" x14ac:dyDescent="0.2">
      <c r="A42" s="28">
        <v>2015</v>
      </c>
      <c r="B42" s="6" t="s">
        <v>15</v>
      </c>
      <c r="C42" s="49" t="s">
        <v>9</v>
      </c>
      <c r="D42" s="51" t="s">
        <v>59</v>
      </c>
      <c r="E42" s="77">
        <v>8.1999999999999993</v>
      </c>
      <c r="F42" s="54">
        <f t="shared" si="0"/>
        <v>2.8275862068965516</v>
      </c>
    </row>
    <row r="43" spans="1:6" ht="15.75" x14ac:dyDescent="0.2">
      <c r="A43" s="28">
        <v>2015</v>
      </c>
      <c r="B43" s="6" t="s">
        <v>15</v>
      </c>
      <c r="C43" s="49" t="s">
        <v>9</v>
      </c>
      <c r="D43" s="51" t="s">
        <v>60</v>
      </c>
      <c r="E43" s="78">
        <v>2.9</v>
      </c>
    </row>
    <row r="44" spans="1:6" ht="15.75" x14ac:dyDescent="0.2">
      <c r="A44" s="28">
        <v>2015</v>
      </c>
      <c r="B44" s="6" t="s">
        <v>15</v>
      </c>
      <c r="C44" s="48" t="s">
        <v>10</v>
      </c>
      <c r="D44" s="51" t="s">
        <v>59</v>
      </c>
      <c r="E44" s="75">
        <v>410.3</v>
      </c>
      <c r="F44" s="54">
        <f t="shared" si="0"/>
        <v>34.478991596638657</v>
      </c>
    </row>
    <row r="45" spans="1:6" ht="15.75" x14ac:dyDescent="0.2">
      <c r="A45" s="28">
        <v>2015</v>
      </c>
      <c r="B45" s="6" t="s">
        <v>15</v>
      </c>
      <c r="C45" s="48" t="s">
        <v>10</v>
      </c>
      <c r="D45" s="51" t="s">
        <v>60</v>
      </c>
      <c r="E45" s="76">
        <v>11.9</v>
      </c>
    </row>
    <row r="46" spans="1:6" ht="15.75" x14ac:dyDescent="0.2">
      <c r="A46" s="28">
        <v>2015</v>
      </c>
      <c r="B46" s="6" t="s">
        <v>16</v>
      </c>
      <c r="C46" s="48" t="s">
        <v>58</v>
      </c>
      <c r="D46" s="51" t="s">
        <v>59</v>
      </c>
      <c r="E46" s="75">
        <v>264.8</v>
      </c>
      <c r="F46" s="54">
        <f t="shared" si="0"/>
        <v>9.0996563573883158</v>
      </c>
    </row>
    <row r="47" spans="1:6" ht="15.75" x14ac:dyDescent="0.2">
      <c r="A47" s="28">
        <v>2015</v>
      </c>
      <c r="B47" s="6" t="s">
        <v>16</v>
      </c>
      <c r="C47" s="48" t="s">
        <v>58</v>
      </c>
      <c r="D47" s="51" t="s">
        <v>60</v>
      </c>
      <c r="E47" s="76">
        <v>29.1</v>
      </c>
    </row>
    <row r="48" spans="1:6" ht="15.75" x14ac:dyDescent="0.2">
      <c r="A48" s="28">
        <v>2015</v>
      </c>
      <c r="B48" s="6" t="s">
        <v>16</v>
      </c>
      <c r="C48" s="49" t="s">
        <v>5</v>
      </c>
      <c r="D48" s="51" t="s">
        <v>59</v>
      </c>
      <c r="E48" s="77">
        <v>404.9</v>
      </c>
      <c r="F48" s="54">
        <f t="shared" si="0"/>
        <v>14.940959409594095</v>
      </c>
    </row>
    <row r="49" spans="1:6" ht="15.75" x14ac:dyDescent="0.2">
      <c r="A49" s="28">
        <v>2015</v>
      </c>
      <c r="B49" s="6" t="s">
        <v>16</v>
      </c>
      <c r="C49" s="49" t="s">
        <v>5</v>
      </c>
      <c r="D49" s="51" t="s">
        <v>60</v>
      </c>
      <c r="E49" s="78">
        <v>27.1</v>
      </c>
    </row>
    <row r="50" spans="1:6" ht="15.75" x14ac:dyDescent="0.2">
      <c r="A50" s="28">
        <v>2015</v>
      </c>
      <c r="B50" s="6" t="s">
        <v>16</v>
      </c>
      <c r="C50" s="48" t="s">
        <v>6</v>
      </c>
      <c r="D50" s="51" t="s">
        <v>59</v>
      </c>
      <c r="E50" s="75">
        <v>669.7</v>
      </c>
      <c r="F50" s="54">
        <f t="shared" si="0"/>
        <v>20.862928348909659</v>
      </c>
    </row>
    <row r="51" spans="1:6" ht="15.75" x14ac:dyDescent="0.2">
      <c r="A51" s="28">
        <v>2015</v>
      </c>
      <c r="B51" s="6" t="s">
        <v>16</v>
      </c>
      <c r="C51" s="48" t="s">
        <v>6</v>
      </c>
      <c r="D51" s="51" t="s">
        <v>60</v>
      </c>
      <c r="E51" s="76">
        <v>32.1</v>
      </c>
    </row>
    <row r="52" spans="1:6" ht="15.75" x14ac:dyDescent="0.2">
      <c r="A52" s="28">
        <v>2015</v>
      </c>
      <c r="B52" s="6" t="s">
        <v>16</v>
      </c>
      <c r="C52" s="49" t="s">
        <v>7</v>
      </c>
      <c r="D52" s="51" t="s">
        <v>59</v>
      </c>
      <c r="E52" s="77">
        <v>46.8</v>
      </c>
      <c r="F52" s="54">
        <f t="shared" si="0"/>
        <v>46.8</v>
      </c>
    </row>
    <row r="53" spans="1:6" ht="15.75" x14ac:dyDescent="0.2">
      <c r="A53" s="28">
        <v>2015</v>
      </c>
      <c r="B53" s="6" t="s">
        <v>16</v>
      </c>
      <c r="C53" s="49" t="s">
        <v>7</v>
      </c>
      <c r="D53" s="51" t="s">
        <v>60</v>
      </c>
      <c r="E53" s="78">
        <v>1</v>
      </c>
    </row>
    <row r="54" spans="1:6" ht="15.75" x14ac:dyDescent="0.2">
      <c r="A54" s="28">
        <v>2015</v>
      </c>
      <c r="B54" s="6" t="s">
        <v>16</v>
      </c>
      <c r="C54" s="48" t="s">
        <v>8</v>
      </c>
      <c r="D54" s="51" t="s">
        <v>59</v>
      </c>
      <c r="E54" s="75">
        <v>71.099999999999994</v>
      </c>
      <c r="F54" s="54">
        <f t="shared" si="0"/>
        <v>21.545454545454543</v>
      </c>
    </row>
    <row r="55" spans="1:6" ht="15.75" x14ac:dyDescent="0.2">
      <c r="A55" s="28">
        <v>2015</v>
      </c>
      <c r="B55" s="6" t="s">
        <v>16</v>
      </c>
      <c r="C55" s="48" t="s">
        <v>8</v>
      </c>
      <c r="D55" s="51" t="s">
        <v>60</v>
      </c>
      <c r="E55" s="76">
        <v>3.3</v>
      </c>
    </row>
    <row r="56" spans="1:6" ht="15.75" x14ac:dyDescent="0.2">
      <c r="A56" s="28">
        <v>2015</v>
      </c>
      <c r="B56" s="6" t="s">
        <v>16</v>
      </c>
      <c r="C56" s="49" t="s">
        <v>9</v>
      </c>
      <c r="D56" s="51" t="s">
        <v>59</v>
      </c>
      <c r="E56" s="77">
        <v>8.1</v>
      </c>
      <c r="F56" s="54">
        <f t="shared" si="0"/>
        <v>2.8928571428571428</v>
      </c>
    </row>
    <row r="57" spans="1:6" ht="15.75" x14ac:dyDescent="0.2">
      <c r="A57" s="28">
        <v>2015</v>
      </c>
      <c r="B57" s="6" t="s">
        <v>16</v>
      </c>
      <c r="C57" s="49" t="s">
        <v>9</v>
      </c>
      <c r="D57" s="51" t="s">
        <v>60</v>
      </c>
      <c r="E57" s="78">
        <v>2.8</v>
      </c>
    </row>
    <row r="58" spans="1:6" ht="15.75" x14ac:dyDescent="0.2">
      <c r="A58" s="28">
        <v>2015</v>
      </c>
      <c r="B58" s="6" t="s">
        <v>16</v>
      </c>
      <c r="C58" s="48" t="s">
        <v>10</v>
      </c>
      <c r="D58" s="51" t="s">
        <v>59</v>
      </c>
      <c r="E58" s="75">
        <v>416.7</v>
      </c>
      <c r="F58" s="54">
        <f t="shared" si="0"/>
        <v>35.016806722689076</v>
      </c>
    </row>
    <row r="59" spans="1:6" ht="15.75" x14ac:dyDescent="0.2">
      <c r="A59" s="28">
        <v>2015</v>
      </c>
      <c r="B59" s="6" t="s">
        <v>16</v>
      </c>
      <c r="C59" s="48" t="s">
        <v>10</v>
      </c>
      <c r="D59" s="51" t="s">
        <v>60</v>
      </c>
      <c r="E59" s="76">
        <v>11.9</v>
      </c>
    </row>
    <row r="60" spans="1:6" ht="15.75" x14ac:dyDescent="0.2">
      <c r="A60" s="28">
        <v>2016</v>
      </c>
      <c r="B60" s="6" t="s">
        <v>18</v>
      </c>
      <c r="C60" s="48" t="s">
        <v>58</v>
      </c>
      <c r="D60" s="51" t="s">
        <v>59</v>
      </c>
      <c r="E60" s="75">
        <v>264.10000000000002</v>
      </c>
      <c r="F60" s="54">
        <f t="shared" si="0"/>
        <v>9.0136518771331069</v>
      </c>
    </row>
    <row r="61" spans="1:6" ht="15.75" x14ac:dyDescent="0.2">
      <c r="A61" s="28">
        <v>2016</v>
      </c>
      <c r="B61" s="6" t="s">
        <v>18</v>
      </c>
      <c r="C61" s="48" t="s">
        <v>58</v>
      </c>
      <c r="D61" s="51" t="s">
        <v>60</v>
      </c>
      <c r="E61" s="76">
        <v>29.3</v>
      </c>
    </row>
    <row r="62" spans="1:6" ht="15.75" x14ac:dyDescent="0.2">
      <c r="A62" s="28">
        <v>2016</v>
      </c>
      <c r="B62" s="6" t="s">
        <v>18</v>
      </c>
      <c r="C62" s="49" t="s">
        <v>5</v>
      </c>
      <c r="D62" s="51" t="s">
        <v>59</v>
      </c>
      <c r="E62" s="77">
        <v>406.6</v>
      </c>
      <c r="F62" s="54">
        <f t="shared" si="0"/>
        <v>14.893772893772894</v>
      </c>
    </row>
    <row r="63" spans="1:6" ht="15.75" x14ac:dyDescent="0.2">
      <c r="A63" s="28">
        <v>2016</v>
      </c>
      <c r="B63" s="6" t="s">
        <v>18</v>
      </c>
      <c r="C63" s="49" t="s">
        <v>5</v>
      </c>
      <c r="D63" s="51" t="s">
        <v>60</v>
      </c>
      <c r="E63" s="78">
        <v>27.3</v>
      </c>
    </row>
    <row r="64" spans="1:6" ht="15.75" x14ac:dyDescent="0.2">
      <c r="A64" s="28">
        <v>2016</v>
      </c>
      <c r="B64" s="6" t="s">
        <v>18</v>
      </c>
      <c r="C64" s="48" t="s">
        <v>6</v>
      </c>
      <c r="D64" s="51" t="s">
        <v>59</v>
      </c>
      <c r="E64" s="75">
        <v>670.7</v>
      </c>
      <c r="F64" s="54">
        <f t="shared" si="0"/>
        <v>20.829192546583851</v>
      </c>
    </row>
    <row r="65" spans="1:6" ht="15.75" x14ac:dyDescent="0.2">
      <c r="A65" s="28">
        <v>2016</v>
      </c>
      <c r="B65" s="6" t="s">
        <v>18</v>
      </c>
      <c r="C65" s="48" t="s">
        <v>6</v>
      </c>
      <c r="D65" s="51" t="s">
        <v>60</v>
      </c>
      <c r="E65" s="76">
        <v>32.200000000000003</v>
      </c>
    </row>
    <row r="66" spans="1:6" ht="15.75" x14ac:dyDescent="0.2">
      <c r="A66" s="28">
        <v>2016</v>
      </c>
      <c r="B66" s="6" t="s">
        <v>18</v>
      </c>
      <c r="C66" s="49" t="s">
        <v>7</v>
      </c>
      <c r="D66" s="51" t="s">
        <v>59</v>
      </c>
      <c r="E66" s="77">
        <v>46.6</v>
      </c>
      <c r="F66" s="54">
        <f t="shared" si="0"/>
        <v>46.6</v>
      </c>
    </row>
    <row r="67" spans="1:6" ht="15.75" x14ac:dyDescent="0.2">
      <c r="A67" s="28">
        <v>2016</v>
      </c>
      <c r="B67" s="6" t="s">
        <v>18</v>
      </c>
      <c r="C67" s="49" t="s">
        <v>7</v>
      </c>
      <c r="D67" s="51" t="s">
        <v>60</v>
      </c>
      <c r="E67" s="78">
        <v>1</v>
      </c>
    </row>
    <row r="68" spans="1:6" ht="15.75" x14ac:dyDescent="0.2">
      <c r="A68" s="28">
        <v>2016</v>
      </c>
      <c r="B68" s="6" t="s">
        <v>18</v>
      </c>
      <c r="C68" s="48" t="s">
        <v>8</v>
      </c>
      <c r="D68" s="51" t="s">
        <v>59</v>
      </c>
      <c r="E68" s="75">
        <v>71.099999999999994</v>
      </c>
      <c r="F68" s="54">
        <f t="shared" ref="F68:F130" si="1">E68/E69</f>
        <v>20.911764705882351</v>
      </c>
    </row>
    <row r="69" spans="1:6" ht="15.75" x14ac:dyDescent="0.2">
      <c r="A69" s="28">
        <v>2016</v>
      </c>
      <c r="B69" s="6" t="s">
        <v>18</v>
      </c>
      <c r="C69" s="48" t="s">
        <v>8</v>
      </c>
      <c r="D69" s="51" t="s">
        <v>60</v>
      </c>
      <c r="E69" s="76">
        <v>3.4</v>
      </c>
    </row>
    <row r="70" spans="1:6" ht="15.75" x14ac:dyDescent="0.2">
      <c r="A70" s="28">
        <v>2016</v>
      </c>
      <c r="B70" s="6" t="s">
        <v>18</v>
      </c>
      <c r="C70" s="49" t="s">
        <v>9</v>
      </c>
      <c r="D70" s="51" t="s">
        <v>59</v>
      </c>
      <c r="E70" s="77">
        <v>8.1</v>
      </c>
      <c r="F70" s="54">
        <f t="shared" si="1"/>
        <v>2.7931034482758621</v>
      </c>
    </row>
    <row r="71" spans="1:6" ht="15.75" x14ac:dyDescent="0.2">
      <c r="A71" s="28">
        <v>2016</v>
      </c>
      <c r="B71" s="6" t="s">
        <v>18</v>
      </c>
      <c r="C71" s="49" t="s">
        <v>9</v>
      </c>
      <c r="D71" s="51" t="s">
        <v>60</v>
      </c>
      <c r="E71" s="78">
        <v>2.9</v>
      </c>
    </row>
    <row r="72" spans="1:6" ht="15.75" x14ac:dyDescent="0.2">
      <c r="A72" s="28">
        <v>2016</v>
      </c>
      <c r="B72" s="6" t="s">
        <v>18</v>
      </c>
      <c r="C72" s="48" t="s">
        <v>10</v>
      </c>
      <c r="D72" s="51" t="s">
        <v>59</v>
      </c>
      <c r="E72" s="75">
        <v>423.6</v>
      </c>
      <c r="F72" s="54">
        <f t="shared" si="1"/>
        <v>35.300000000000004</v>
      </c>
    </row>
    <row r="73" spans="1:6" ht="15.75" x14ac:dyDescent="0.2">
      <c r="A73" s="28">
        <v>2016</v>
      </c>
      <c r="B73" s="6" t="s">
        <v>18</v>
      </c>
      <c r="C73" s="48" t="s">
        <v>10</v>
      </c>
      <c r="D73" s="51" t="s">
        <v>60</v>
      </c>
      <c r="E73" s="76">
        <v>12</v>
      </c>
    </row>
    <row r="74" spans="1:6" ht="15.75" x14ac:dyDescent="0.2">
      <c r="A74" s="28">
        <v>2016</v>
      </c>
      <c r="B74" s="6" t="s">
        <v>3</v>
      </c>
      <c r="C74" s="48" t="s">
        <v>58</v>
      </c>
      <c r="D74" s="51" t="s">
        <v>59</v>
      </c>
      <c r="E74" s="75">
        <v>269</v>
      </c>
      <c r="F74" s="54">
        <f t="shared" si="1"/>
        <v>9.2123287671232887</v>
      </c>
    </row>
    <row r="75" spans="1:6" ht="15.75" x14ac:dyDescent="0.2">
      <c r="A75" s="28">
        <v>2016</v>
      </c>
      <c r="B75" s="6" t="s">
        <v>3</v>
      </c>
      <c r="C75" s="48" t="s">
        <v>58</v>
      </c>
      <c r="D75" s="51" t="s">
        <v>60</v>
      </c>
      <c r="E75" s="76">
        <v>29.2</v>
      </c>
    </row>
    <row r="76" spans="1:6" ht="15.75" x14ac:dyDescent="0.2">
      <c r="A76" s="28">
        <v>2016</v>
      </c>
      <c r="B76" s="6" t="s">
        <v>3</v>
      </c>
      <c r="C76" s="49" t="s">
        <v>5</v>
      </c>
      <c r="D76" s="51" t="s">
        <v>59</v>
      </c>
      <c r="E76" s="77">
        <v>421.8</v>
      </c>
      <c r="F76" s="54">
        <f t="shared" si="1"/>
        <v>15.450549450549451</v>
      </c>
    </row>
    <row r="77" spans="1:6" ht="15.75" x14ac:dyDescent="0.2">
      <c r="A77" s="28">
        <v>2016</v>
      </c>
      <c r="B77" s="6" t="s">
        <v>3</v>
      </c>
      <c r="C77" s="49" t="s">
        <v>5</v>
      </c>
      <c r="D77" s="51" t="s">
        <v>60</v>
      </c>
      <c r="E77" s="78">
        <v>27.3</v>
      </c>
    </row>
    <row r="78" spans="1:6" ht="15.75" x14ac:dyDescent="0.2">
      <c r="A78" s="28">
        <v>2016</v>
      </c>
      <c r="B78" s="6" t="s">
        <v>3</v>
      </c>
      <c r="C78" s="48" t="s">
        <v>6</v>
      </c>
      <c r="D78" s="51" t="s">
        <v>59</v>
      </c>
      <c r="E78" s="75">
        <v>690.8</v>
      </c>
      <c r="F78" s="54">
        <f t="shared" si="1"/>
        <v>21.5202492211838</v>
      </c>
    </row>
    <row r="79" spans="1:6" ht="15.75" x14ac:dyDescent="0.2">
      <c r="A79" s="28">
        <v>2016</v>
      </c>
      <c r="B79" s="6" t="s">
        <v>3</v>
      </c>
      <c r="C79" s="48" t="s">
        <v>6</v>
      </c>
      <c r="D79" s="51" t="s">
        <v>60</v>
      </c>
      <c r="E79" s="76">
        <v>32.1</v>
      </c>
    </row>
    <row r="80" spans="1:6" ht="15.75" x14ac:dyDescent="0.2">
      <c r="A80" s="28">
        <v>2016</v>
      </c>
      <c r="B80" s="6" t="s">
        <v>3</v>
      </c>
      <c r="C80" s="49" t="s">
        <v>7</v>
      </c>
      <c r="D80" s="51" t="s">
        <v>59</v>
      </c>
      <c r="E80" s="77">
        <v>49.4</v>
      </c>
      <c r="F80" s="54">
        <f t="shared" si="1"/>
        <v>49.4</v>
      </c>
    </row>
    <row r="81" spans="1:8" ht="15.75" x14ac:dyDescent="0.2">
      <c r="A81" s="28">
        <v>2016</v>
      </c>
      <c r="B81" s="6" t="s">
        <v>3</v>
      </c>
      <c r="C81" s="49" t="s">
        <v>7</v>
      </c>
      <c r="D81" s="51" t="s">
        <v>60</v>
      </c>
      <c r="E81" s="78">
        <v>1</v>
      </c>
    </row>
    <row r="82" spans="1:8" ht="15.75" x14ac:dyDescent="0.2">
      <c r="A82" s="28">
        <v>2016</v>
      </c>
      <c r="B82" s="6" t="s">
        <v>3</v>
      </c>
      <c r="C82" s="48" t="s">
        <v>8</v>
      </c>
      <c r="D82" s="51" t="s">
        <v>59</v>
      </c>
      <c r="E82" s="75">
        <v>75.2</v>
      </c>
      <c r="F82" s="54">
        <f t="shared" si="1"/>
        <v>22.787878787878789</v>
      </c>
    </row>
    <row r="83" spans="1:8" ht="15.75" x14ac:dyDescent="0.2">
      <c r="A83" s="28">
        <v>2016</v>
      </c>
      <c r="B83" s="6" t="s">
        <v>3</v>
      </c>
      <c r="C83" s="48" t="s">
        <v>8</v>
      </c>
      <c r="D83" s="51" t="s">
        <v>60</v>
      </c>
      <c r="E83" s="76">
        <v>3.3</v>
      </c>
    </row>
    <row r="84" spans="1:8" ht="15.75" x14ac:dyDescent="0.2">
      <c r="A84" s="28">
        <v>2016</v>
      </c>
      <c r="B84" s="6" t="s">
        <v>3</v>
      </c>
      <c r="C84" s="49" t="s">
        <v>9</v>
      </c>
      <c r="D84" s="51" t="s">
        <v>59</v>
      </c>
      <c r="E84" s="77">
        <v>8.1999999999999993</v>
      </c>
      <c r="F84" s="54">
        <f t="shared" si="1"/>
        <v>2.9285714285714284</v>
      </c>
    </row>
    <row r="85" spans="1:8" ht="15.75" x14ac:dyDescent="0.2">
      <c r="A85" s="28">
        <v>2016</v>
      </c>
      <c r="B85" s="6" t="s">
        <v>3</v>
      </c>
      <c r="C85" s="49" t="s">
        <v>9</v>
      </c>
      <c r="D85" s="51" t="s">
        <v>60</v>
      </c>
      <c r="E85" s="78">
        <v>2.8</v>
      </c>
    </row>
    <row r="86" spans="1:8" ht="15.75" x14ac:dyDescent="0.2">
      <c r="A86" s="28">
        <v>2016</v>
      </c>
      <c r="B86" s="6" t="s">
        <v>3</v>
      </c>
      <c r="C86" s="48" t="s">
        <v>10</v>
      </c>
      <c r="D86" s="51" t="s">
        <v>59</v>
      </c>
      <c r="E86" s="75">
        <v>431.2</v>
      </c>
      <c r="F86" s="54">
        <f t="shared" si="1"/>
        <v>35.93333333333333</v>
      </c>
    </row>
    <row r="87" spans="1:8" ht="15.75" x14ac:dyDescent="0.2">
      <c r="A87" s="28">
        <v>2016</v>
      </c>
      <c r="B87" s="6" t="s">
        <v>3</v>
      </c>
      <c r="C87" s="48" t="s">
        <v>10</v>
      </c>
      <c r="D87" s="51" t="s">
        <v>60</v>
      </c>
      <c r="E87" s="76">
        <v>12</v>
      </c>
    </row>
    <row r="88" spans="1:8" ht="15.75" x14ac:dyDescent="0.2">
      <c r="A88" s="28">
        <v>2016</v>
      </c>
      <c r="B88" s="6" t="s">
        <v>15</v>
      </c>
      <c r="C88" s="48" t="s">
        <v>58</v>
      </c>
      <c r="D88" s="51" t="s">
        <v>59</v>
      </c>
      <c r="E88" s="75">
        <v>266.7</v>
      </c>
      <c r="F88" s="54">
        <f t="shared" si="1"/>
        <v>9.2283737024221448</v>
      </c>
    </row>
    <row r="89" spans="1:8" ht="15.75" x14ac:dyDescent="0.2">
      <c r="A89" s="28">
        <v>2016</v>
      </c>
      <c r="B89" s="6" t="s">
        <v>15</v>
      </c>
      <c r="C89" s="48" t="s">
        <v>58</v>
      </c>
      <c r="D89" s="51" t="s">
        <v>60</v>
      </c>
      <c r="E89" s="76">
        <v>28.9</v>
      </c>
    </row>
    <row r="90" spans="1:8" ht="15.75" x14ac:dyDescent="0.2">
      <c r="A90" s="28">
        <v>2016</v>
      </c>
      <c r="B90" s="6" t="s">
        <v>15</v>
      </c>
      <c r="C90" s="49" t="s">
        <v>5</v>
      </c>
      <c r="D90" s="51" t="s">
        <v>59</v>
      </c>
      <c r="E90" s="77">
        <v>423.5</v>
      </c>
      <c r="F90" s="54">
        <f t="shared" si="1"/>
        <v>15.627306273062731</v>
      </c>
    </row>
    <row r="91" spans="1:8" ht="15.75" x14ac:dyDescent="0.2">
      <c r="A91" s="28">
        <v>2016</v>
      </c>
      <c r="B91" s="6" t="s">
        <v>15</v>
      </c>
      <c r="C91" s="49" t="s">
        <v>5</v>
      </c>
      <c r="D91" s="51" t="s">
        <v>60</v>
      </c>
      <c r="E91" s="78">
        <v>27.1</v>
      </c>
    </row>
    <row r="92" spans="1:8" ht="15.75" x14ac:dyDescent="0.2">
      <c r="A92" s="28">
        <v>2016</v>
      </c>
      <c r="B92" s="6" t="s">
        <v>15</v>
      </c>
      <c r="C92" s="48" t="s">
        <v>6</v>
      </c>
      <c r="D92" s="51" t="s">
        <v>59</v>
      </c>
      <c r="E92" s="75">
        <v>690.3</v>
      </c>
      <c r="F92" s="54">
        <f t="shared" si="1"/>
        <v>21.639498432601879</v>
      </c>
    </row>
    <row r="93" spans="1:8" ht="15.75" x14ac:dyDescent="0.2">
      <c r="A93" s="28">
        <v>2016</v>
      </c>
      <c r="B93" s="6" t="s">
        <v>15</v>
      </c>
      <c r="C93" s="48" t="s">
        <v>6</v>
      </c>
      <c r="D93" s="51" t="s">
        <v>60</v>
      </c>
      <c r="E93" s="76">
        <v>31.9</v>
      </c>
    </row>
    <row r="94" spans="1:8" ht="15.75" x14ac:dyDescent="0.2">
      <c r="A94" s="28">
        <v>2016</v>
      </c>
      <c r="B94" s="6" t="s">
        <v>15</v>
      </c>
      <c r="C94" s="49" t="s">
        <v>7</v>
      </c>
      <c r="D94" s="51" t="s">
        <v>59</v>
      </c>
      <c r="E94" s="77">
        <v>50.2</v>
      </c>
      <c r="F94" s="54">
        <f t="shared" si="1"/>
        <v>50.2</v>
      </c>
      <c r="H94" s="50" t="s">
        <v>77</v>
      </c>
    </row>
    <row r="95" spans="1:8" ht="15.75" x14ac:dyDescent="0.2">
      <c r="A95" s="28">
        <v>2016</v>
      </c>
      <c r="B95" s="6" t="s">
        <v>15</v>
      </c>
      <c r="C95" s="49" t="s">
        <v>7</v>
      </c>
      <c r="D95" s="51" t="s">
        <v>60</v>
      </c>
      <c r="E95" s="78">
        <v>1</v>
      </c>
    </row>
    <row r="96" spans="1:8" ht="15.75" x14ac:dyDescent="0.2">
      <c r="A96" s="28">
        <v>2016</v>
      </c>
      <c r="B96" s="6" t="s">
        <v>15</v>
      </c>
      <c r="C96" s="48" t="s">
        <v>8</v>
      </c>
      <c r="D96" s="51" t="s">
        <v>59</v>
      </c>
      <c r="E96" s="75">
        <v>74.5</v>
      </c>
      <c r="F96" s="54">
        <f t="shared" si="1"/>
        <v>22.575757575757578</v>
      </c>
    </row>
    <row r="97" spans="1:6" ht="15.75" x14ac:dyDescent="0.2">
      <c r="A97" s="28">
        <v>2016</v>
      </c>
      <c r="B97" s="6" t="s">
        <v>15</v>
      </c>
      <c r="C97" s="48" t="s">
        <v>8</v>
      </c>
      <c r="D97" s="51" t="s">
        <v>60</v>
      </c>
      <c r="E97" s="76">
        <v>3.3</v>
      </c>
    </row>
    <row r="98" spans="1:6" ht="15.75" x14ac:dyDescent="0.2">
      <c r="A98" s="28">
        <v>2016</v>
      </c>
      <c r="B98" s="6" t="s">
        <v>15</v>
      </c>
      <c r="C98" s="49" t="s">
        <v>9</v>
      </c>
      <c r="D98" s="51" t="s">
        <v>59</v>
      </c>
      <c r="E98" s="77">
        <v>8</v>
      </c>
      <c r="F98" s="54">
        <f t="shared" si="1"/>
        <v>2.9629629629629628</v>
      </c>
    </row>
    <row r="99" spans="1:6" ht="15.75" x14ac:dyDescent="0.2">
      <c r="A99" s="28">
        <v>2016</v>
      </c>
      <c r="B99" s="6" t="s">
        <v>15</v>
      </c>
      <c r="C99" s="49" t="s">
        <v>9</v>
      </c>
      <c r="D99" s="51" t="s">
        <v>60</v>
      </c>
      <c r="E99" s="78">
        <v>2.7</v>
      </c>
    </row>
    <row r="100" spans="1:6" ht="15.75" x14ac:dyDescent="0.2">
      <c r="A100" s="28">
        <v>2016</v>
      </c>
      <c r="B100" s="6" t="s">
        <v>15</v>
      </c>
      <c r="C100" s="48" t="s">
        <v>10</v>
      </c>
      <c r="D100" s="51" t="s">
        <v>59</v>
      </c>
      <c r="E100" s="75">
        <v>439.2</v>
      </c>
      <c r="F100" s="54">
        <f t="shared" si="1"/>
        <v>36.6</v>
      </c>
    </row>
    <row r="101" spans="1:6" ht="15.75" x14ac:dyDescent="0.2">
      <c r="A101" s="28">
        <v>2016</v>
      </c>
      <c r="B101" s="6" t="s">
        <v>15</v>
      </c>
      <c r="C101" s="48" t="s">
        <v>10</v>
      </c>
      <c r="D101" s="51" t="s">
        <v>60</v>
      </c>
      <c r="E101" s="76">
        <v>12</v>
      </c>
    </row>
    <row r="102" spans="1:6" ht="15.75" x14ac:dyDescent="0.2">
      <c r="A102" s="28">
        <v>2016</v>
      </c>
      <c r="B102" s="6" t="s">
        <v>16</v>
      </c>
      <c r="C102" s="48" t="s">
        <v>58</v>
      </c>
      <c r="D102" s="51" t="s">
        <v>59</v>
      </c>
      <c r="E102" s="75">
        <v>270.10000000000002</v>
      </c>
      <c r="F102" s="54">
        <f t="shared" si="1"/>
        <v>9.1559322033898312</v>
      </c>
    </row>
    <row r="103" spans="1:6" ht="15.75" x14ac:dyDescent="0.2">
      <c r="A103" s="28">
        <v>2016</v>
      </c>
      <c r="B103" s="6" t="s">
        <v>16</v>
      </c>
      <c r="C103" s="48" t="s">
        <v>58</v>
      </c>
      <c r="D103" s="51" t="s">
        <v>60</v>
      </c>
      <c r="E103" s="76">
        <v>29.5</v>
      </c>
    </row>
    <row r="104" spans="1:6" ht="15.75" x14ac:dyDescent="0.2">
      <c r="A104" s="28">
        <v>2016</v>
      </c>
      <c r="B104" s="6" t="s">
        <v>16</v>
      </c>
      <c r="C104" s="49" t="s">
        <v>5</v>
      </c>
      <c r="D104" s="51" t="s">
        <v>59</v>
      </c>
      <c r="E104" s="77">
        <v>436.1</v>
      </c>
      <c r="F104" s="54">
        <f t="shared" si="1"/>
        <v>15.687050359712231</v>
      </c>
    </row>
    <row r="105" spans="1:6" ht="15.75" x14ac:dyDescent="0.2">
      <c r="A105" s="28">
        <v>2016</v>
      </c>
      <c r="B105" s="6" t="s">
        <v>16</v>
      </c>
      <c r="C105" s="49" t="s">
        <v>5</v>
      </c>
      <c r="D105" s="51" t="s">
        <v>60</v>
      </c>
      <c r="E105" s="78">
        <v>27.8</v>
      </c>
    </row>
    <row r="106" spans="1:6" ht="15.75" x14ac:dyDescent="0.2">
      <c r="A106" s="28">
        <v>2016</v>
      </c>
      <c r="B106" s="6" t="s">
        <v>16</v>
      </c>
      <c r="C106" s="48" t="s">
        <v>6</v>
      </c>
      <c r="D106" s="51" t="s">
        <v>59</v>
      </c>
      <c r="E106" s="75">
        <v>706.2</v>
      </c>
      <c r="F106" s="54">
        <f t="shared" si="1"/>
        <v>21.662576687116566</v>
      </c>
    </row>
    <row r="107" spans="1:6" ht="15.75" x14ac:dyDescent="0.2">
      <c r="A107" s="28">
        <v>2016</v>
      </c>
      <c r="B107" s="6" t="s">
        <v>16</v>
      </c>
      <c r="C107" s="48" t="s">
        <v>6</v>
      </c>
      <c r="D107" s="51" t="s">
        <v>60</v>
      </c>
      <c r="E107" s="76">
        <v>32.6</v>
      </c>
    </row>
    <row r="108" spans="1:6" ht="15.75" x14ac:dyDescent="0.2">
      <c r="A108" s="28">
        <v>2016</v>
      </c>
      <c r="B108" s="6" t="s">
        <v>16</v>
      </c>
      <c r="C108" s="49" t="s">
        <v>7</v>
      </c>
      <c r="D108" s="51" t="s">
        <v>59</v>
      </c>
      <c r="E108" s="77">
        <v>53</v>
      </c>
      <c r="F108" s="54">
        <f t="shared" si="1"/>
        <v>48.18181818181818</v>
      </c>
    </row>
    <row r="109" spans="1:6" ht="15.75" x14ac:dyDescent="0.2">
      <c r="A109" s="28">
        <v>2016</v>
      </c>
      <c r="B109" s="6" t="s">
        <v>16</v>
      </c>
      <c r="C109" s="49" t="s">
        <v>7</v>
      </c>
      <c r="D109" s="51" t="s">
        <v>60</v>
      </c>
      <c r="E109" s="78">
        <v>1.1000000000000001</v>
      </c>
    </row>
    <row r="110" spans="1:6" ht="15.75" x14ac:dyDescent="0.2">
      <c r="A110" s="28">
        <v>2016</v>
      </c>
      <c r="B110" s="6" t="s">
        <v>16</v>
      </c>
      <c r="C110" s="48" t="s">
        <v>8</v>
      </c>
      <c r="D110" s="51" t="s">
        <v>59</v>
      </c>
      <c r="E110" s="75">
        <v>77.8</v>
      </c>
      <c r="F110" s="54">
        <f t="shared" si="1"/>
        <v>22.228571428571428</v>
      </c>
    </row>
    <row r="111" spans="1:6" ht="15.75" x14ac:dyDescent="0.2">
      <c r="A111" s="28">
        <v>2016</v>
      </c>
      <c r="B111" s="6" t="s">
        <v>16</v>
      </c>
      <c r="C111" s="48" t="s">
        <v>8</v>
      </c>
      <c r="D111" s="51" t="s">
        <v>60</v>
      </c>
      <c r="E111" s="76">
        <v>3.5</v>
      </c>
    </row>
    <row r="112" spans="1:6" ht="15.75" x14ac:dyDescent="0.2">
      <c r="A112" s="28">
        <v>2016</v>
      </c>
      <c r="B112" s="6" t="s">
        <v>16</v>
      </c>
      <c r="C112" s="49" t="s">
        <v>9</v>
      </c>
      <c r="D112" s="51" t="s">
        <v>59</v>
      </c>
      <c r="E112" s="77">
        <v>7.9</v>
      </c>
      <c r="F112" s="54">
        <f t="shared" si="1"/>
        <v>2.925925925925926</v>
      </c>
    </row>
    <row r="113" spans="1:6" ht="15.75" x14ac:dyDescent="0.2">
      <c r="A113" s="28">
        <v>2016</v>
      </c>
      <c r="B113" s="6" t="s">
        <v>16</v>
      </c>
      <c r="C113" s="49" t="s">
        <v>9</v>
      </c>
      <c r="D113" s="51" t="s">
        <v>60</v>
      </c>
      <c r="E113" s="78">
        <v>2.7</v>
      </c>
    </row>
    <row r="114" spans="1:6" ht="15.75" x14ac:dyDescent="0.2">
      <c r="A114" s="28">
        <v>2016</v>
      </c>
      <c r="B114" s="6" t="s">
        <v>16</v>
      </c>
      <c r="C114" s="48" t="s">
        <v>10</v>
      </c>
      <c r="D114" s="51" t="s">
        <v>59</v>
      </c>
      <c r="E114" s="75">
        <v>447.3</v>
      </c>
      <c r="F114" s="54">
        <f t="shared" si="1"/>
        <v>37.274999999999999</v>
      </c>
    </row>
    <row r="115" spans="1:6" ht="15.75" x14ac:dyDescent="0.2">
      <c r="A115" s="28">
        <v>2016</v>
      </c>
      <c r="B115" s="6" t="s">
        <v>16</v>
      </c>
      <c r="C115" s="48" t="s">
        <v>10</v>
      </c>
      <c r="D115" s="51" t="s">
        <v>60</v>
      </c>
      <c r="E115" s="76">
        <v>12</v>
      </c>
    </row>
    <row r="116" spans="1:6" ht="15.75" x14ac:dyDescent="0.2">
      <c r="A116" s="28">
        <v>2017</v>
      </c>
      <c r="B116" s="6" t="s">
        <v>18</v>
      </c>
      <c r="C116" s="48" t="s">
        <v>58</v>
      </c>
      <c r="D116" s="51" t="s">
        <v>59</v>
      </c>
      <c r="E116" s="75">
        <v>268.8</v>
      </c>
      <c r="F116" s="54">
        <f t="shared" si="1"/>
        <v>9.0810810810810807</v>
      </c>
    </row>
    <row r="117" spans="1:6" ht="15.75" x14ac:dyDescent="0.2">
      <c r="A117" s="28">
        <v>2017</v>
      </c>
      <c r="B117" s="6" t="s">
        <v>18</v>
      </c>
      <c r="C117" s="48" t="s">
        <v>58</v>
      </c>
      <c r="D117" s="51" t="s">
        <v>60</v>
      </c>
      <c r="E117" s="76">
        <v>29.6</v>
      </c>
    </row>
    <row r="118" spans="1:6" ht="15.75" x14ac:dyDescent="0.2">
      <c r="A118" s="28">
        <v>2017</v>
      </c>
      <c r="B118" s="6" t="s">
        <v>18</v>
      </c>
      <c r="C118" s="49" t="s">
        <v>5</v>
      </c>
      <c r="D118" s="51" t="s">
        <v>59</v>
      </c>
      <c r="E118" s="77">
        <v>436.5</v>
      </c>
      <c r="F118" s="54">
        <f t="shared" si="1"/>
        <v>15.589285714285714</v>
      </c>
    </row>
    <row r="119" spans="1:6" ht="15.75" x14ac:dyDescent="0.2">
      <c r="A119" s="28">
        <v>2017</v>
      </c>
      <c r="B119" s="6" t="s">
        <v>18</v>
      </c>
      <c r="C119" s="49" t="s">
        <v>5</v>
      </c>
      <c r="D119" s="51" t="s">
        <v>60</v>
      </c>
      <c r="E119" s="78">
        <v>28</v>
      </c>
    </row>
    <row r="120" spans="1:6" ht="15.75" x14ac:dyDescent="0.2">
      <c r="A120" s="28">
        <v>2017</v>
      </c>
      <c r="B120" s="6" t="s">
        <v>18</v>
      </c>
      <c r="C120" s="48" t="s">
        <v>6</v>
      </c>
      <c r="D120" s="51" t="s">
        <v>59</v>
      </c>
      <c r="E120" s="75">
        <v>705.3</v>
      </c>
      <c r="F120" s="54">
        <f t="shared" si="1"/>
        <v>21.503048780487806</v>
      </c>
    </row>
    <row r="121" spans="1:6" ht="15.75" x14ac:dyDescent="0.2">
      <c r="A121" s="28">
        <v>2017</v>
      </c>
      <c r="B121" s="6" t="s">
        <v>18</v>
      </c>
      <c r="C121" s="48" t="s">
        <v>6</v>
      </c>
      <c r="D121" s="51" t="s">
        <v>60</v>
      </c>
      <c r="E121" s="76">
        <v>32.799999999999997</v>
      </c>
    </row>
    <row r="122" spans="1:6" ht="15.75" x14ac:dyDescent="0.2">
      <c r="A122" s="28">
        <v>2017</v>
      </c>
      <c r="B122" s="6" t="s">
        <v>18</v>
      </c>
      <c r="C122" s="49" t="s">
        <v>7</v>
      </c>
      <c r="D122" s="51" t="s">
        <v>59</v>
      </c>
      <c r="E122" s="77">
        <v>52.8</v>
      </c>
      <c r="F122" s="54">
        <f t="shared" si="1"/>
        <v>47.999999999999993</v>
      </c>
    </row>
    <row r="123" spans="1:6" ht="15.75" x14ac:dyDescent="0.2">
      <c r="A123" s="28">
        <v>2017</v>
      </c>
      <c r="B123" s="6" t="s">
        <v>18</v>
      </c>
      <c r="C123" s="49" t="s">
        <v>7</v>
      </c>
      <c r="D123" s="51" t="s">
        <v>60</v>
      </c>
      <c r="E123" s="78">
        <v>1.1000000000000001</v>
      </c>
    </row>
    <row r="124" spans="1:6" ht="15.75" x14ac:dyDescent="0.2">
      <c r="A124" s="28">
        <v>2017</v>
      </c>
      <c r="B124" s="6" t="s">
        <v>18</v>
      </c>
      <c r="C124" s="48" t="s">
        <v>8</v>
      </c>
      <c r="D124" s="51" t="s">
        <v>59</v>
      </c>
      <c r="E124" s="75">
        <v>77.5</v>
      </c>
      <c r="F124" s="54">
        <f t="shared" si="1"/>
        <v>22.142857142857142</v>
      </c>
    </row>
    <row r="125" spans="1:6" ht="15.75" x14ac:dyDescent="0.2">
      <c r="A125" s="28">
        <v>2017</v>
      </c>
      <c r="B125" s="6" t="s">
        <v>18</v>
      </c>
      <c r="C125" s="48" t="s">
        <v>8</v>
      </c>
      <c r="D125" s="51" t="s">
        <v>60</v>
      </c>
      <c r="E125" s="76">
        <v>3.5</v>
      </c>
    </row>
    <row r="126" spans="1:6" ht="15.75" x14ac:dyDescent="0.2">
      <c r="A126" s="28">
        <v>2017</v>
      </c>
      <c r="B126" s="6" t="s">
        <v>18</v>
      </c>
      <c r="C126" s="49" t="s">
        <v>9</v>
      </c>
      <c r="D126" s="51" t="s">
        <v>59</v>
      </c>
      <c r="E126" s="77">
        <v>7.9</v>
      </c>
      <c r="F126" s="54">
        <f t="shared" si="1"/>
        <v>2.925925925925926</v>
      </c>
    </row>
    <row r="127" spans="1:6" ht="15.75" x14ac:dyDescent="0.2">
      <c r="A127" s="28">
        <v>2017</v>
      </c>
      <c r="B127" s="6" t="s">
        <v>18</v>
      </c>
      <c r="C127" s="49" t="s">
        <v>9</v>
      </c>
      <c r="D127" s="51" t="s">
        <v>60</v>
      </c>
      <c r="E127" s="78">
        <v>2.7</v>
      </c>
    </row>
    <row r="128" spans="1:6" ht="15.75" x14ac:dyDescent="0.2">
      <c r="A128" s="28">
        <v>2017</v>
      </c>
      <c r="B128" s="6" t="s">
        <v>18</v>
      </c>
      <c r="C128" s="48" t="s">
        <v>10</v>
      </c>
      <c r="D128" s="51" t="s">
        <v>59</v>
      </c>
      <c r="E128" s="75">
        <v>456.2</v>
      </c>
      <c r="F128" s="54">
        <f t="shared" si="1"/>
        <v>38.016666666666666</v>
      </c>
    </row>
    <row r="129" spans="1:8" ht="15.75" x14ac:dyDescent="0.2">
      <c r="A129" s="28">
        <v>2017</v>
      </c>
      <c r="B129" s="6" t="s">
        <v>18</v>
      </c>
      <c r="C129" s="48" t="s">
        <v>10</v>
      </c>
      <c r="D129" s="51" t="s">
        <v>60</v>
      </c>
      <c r="E129" s="76">
        <v>12</v>
      </c>
    </row>
    <row r="130" spans="1:8" ht="15.75" x14ac:dyDescent="0.2">
      <c r="A130" s="28">
        <v>2017</v>
      </c>
      <c r="B130" s="6" t="s">
        <v>3</v>
      </c>
      <c r="C130" s="48" t="s">
        <v>58</v>
      </c>
      <c r="D130" s="51" t="s">
        <v>59</v>
      </c>
      <c r="E130" s="75">
        <v>272.5</v>
      </c>
      <c r="F130" s="54">
        <f t="shared" si="1"/>
        <v>9.2687074829931984</v>
      </c>
    </row>
    <row r="131" spans="1:8" ht="15.75" x14ac:dyDescent="0.2">
      <c r="A131" s="28">
        <v>2017</v>
      </c>
      <c r="B131" s="6" t="s">
        <v>3</v>
      </c>
      <c r="C131" s="48" t="s">
        <v>58</v>
      </c>
      <c r="D131" s="51" t="s">
        <v>60</v>
      </c>
      <c r="E131" s="76">
        <v>29.4</v>
      </c>
    </row>
    <row r="132" spans="1:8" ht="15.75" x14ac:dyDescent="0.2">
      <c r="A132" s="28">
        <v>2017</v>
      </c>
      <c r="B132" s="6" t="s">
        <v>3</v>
      </c>
      <c r="C132" s="49" t="s">
        <v>5</v>
      </c>
      <c r="D132" s="51" t="s">
        <v>59</v>
      </c>
      <c r="E132" s="77">
        <v>449.6</v>
      </c>
      <c r="F132" s="54">
        <f t="shared" ref="F132:F194" si="2">E132/E133</f>
        <v>16.114695340501793</v>
      </c>
    </row>
    <row r="133" spans="1:8" ht="15.75" x14ac:dyDescent="0.2">
      <c r="A133" s="28">
        <v>2017</v>
      </c>
      <c r="B133" s="6" t="s">
        <v>3</v>
      </c>
      <c r="C133" s="49" t="s">
        <v>5</v>
      </c>
      <c r="D133" s="51" t="s">
        <v>60</v>
      </c>
      <c r="E133" s="78">
        <v>27.9</v>
      </c>
    </row>
    <row r="134" spans="1:8" ht="15.75" x14ac:dyDescent="0.2">
      <c r="A134" s="28">
        <v>2017</v>
      </c>
      <c r="B134" s="6" t="s">
        <v>3</v>
      </c>
      <c r="C134" s="48" t="s">
        <v>6</v>
      </c>
      <c r="D134" s="51" t="s">
        <v>59</v>
      </c>
      <c r="E134" s="75">
        <v>722.2</v>
      </c>
      <c r="F134" s="54">
        <f t="shared" si="2"/>
        <v>22.153374233128833</v>
      </c>
    </row>
    <row r="135" spans="1:8" ht="15.75" x14ac:dyDescent="0.2">
      <c r="A135" s="28">
        <v>2017</v>
      </c>
      <c r="B135" s="6" t="s">
        <v>3</v>
      </c>
      <c r="C135" s="48" t="s">
        <v>6</v>
      </c>
      <c r="D135" s="51" t="s">
        <v>60</v>
      </c>
      <c r="E135" s="76">
        <v>32.6</v>
      </c>
    </row>
    <row r="136" spans="1:8" ht="15.75" x14ac:dyDescent="0.2">
      <c r="A136" s="28">
        <v>2017</v>
      </c>
      <c r="B136" s="6" t="s">
        <v>3</v>
      </c>
      <c r="C136" s="49" t="s">
        <v>7</v>
      </c>
      <c r="D136" s="51" t="s">
        <v>59</v>
      </c>
      <c r="E136" s="77">
        <v>55.7</v>
      </c>
      <c r="F136" s="54">
        <f t="shared" si="2"/>
        <v>50.636363636363633</v>
      </c>
      <c r="H136" s="50" t="s">
        <v>77</v>
      </c>
    </row>
    <row r="137" spans="1:8" ht="15.75" x14ac:dyDescent="0.2">
      <c r="A137" s="28">
        <v>2017</v>
      </c>
      <c r="B137" s="6" t="s">
        <v>3</v>
      </c>
      <c r="C137" s="49" t="s">
        <v>7</v>
      </c>
      <c r="D137" s="51" t="s">
        <v>60</v>
      </c>
      <c r="E137" s="78">
        <v>1.1000000000000001</v>
      </c>
    </row>
    <row r="138" spans="1:8" ht="15.75" x14ac:dyDescent="0.2">
      <c r="A138" s="28">
        <v>2017</v>
      </c>
      <c r="B138" s="6" t="s">
        <v>3</v>
      </c>
      <c r="C138" s="48" t="s">
        <v>8</v>
      </c>
      <c r="D138" s="51" t="s">
        <v>59</v>
      </c>
      <c r="E138" s="75">
        <v>81.5</v>
      </c>
      <c r="F138" s="54">
        <f t="shared" si="2"/>
        <v>23.97058823529412</v>
      </c>
    </row>
    <row r="139" spans="1:8" ht="15.75" x14ac:dyDescent="0.2">
      <c r="A139" s="28">
        <v>2017</v>
      </c>
      <c r="B139" s="6" t="s">
        <v>3</v>
      </c>
      <c r="C139" s="48" t="s">
        <v>8</v>
      </c>
      <c r="D139" s="51" t="s">
        <v>60</v>
      </c>
      <c r="E139" s="76">
        <v>3.4</v>
      </c>
    </row>
    <row r="140" spans="1:8" ht="15.75" x14ac:dyDescent="0.2">
      <c r="A140" s="28">
        <v>2017</v>
      </c>
      <c r="B140" s="6" t="s">
        <v>3</v>
      </c>
      <c r="C140" s="49" t="s">
        <v>9</v>
      </c>
      <c r="D140" s="51" t="s">
        <v>59</v>
      </c>
      <c r="E140" s="77">
        <v>7.9</v>
      </c>
      <c r="F140" s="54">
        <f t="shared" si="2"/>
        <v>3.0384615384615383</v>
      </c>
    </row>
    <row r="141" spans="1:8" ht="15.75" x14ac:dyDescent="0.2">
      <c r="A141" s="28">
        <v>2017</v>
      </c>
      <c r="B141" s="6" t="s">
        <v>3</v>
      </c>
      <c r="C141" s="49" t="s">
        <v>9</v>
      </c>
      <c r="D141" s="51" t="s">
        <v>60</v>
      </c>
      <c r="E141" s="78">
        <v>2.6</v>
      </c>
    </row>
    <row r="142" spans="1:8" ht="15.75" x14ac:dyDescent="0.2">
      <c r="A142" s="28">
        <v>2017</v>
      </c>
      <c r="B142" s="6" t="s">
        <v>3</v>
      </c>
      <c r="C142" s="48" t="s">
        <v>10</v>
      </c>
      <c r="D142" s="51" t="s">
        <v>59</v>
      </c>
      <c r="E142" s="75">
        <v>464.5</v>
      </c>
      <c r="F142" s="54">
        <f t="shared" si="2"/>
        <v>38.708333333333336</v>
      </c>
    </row>
    <row r="143" spans="1:8" ht="15.75" x14ac:dyDescent="0.2">
      <c r="A143" s="28">
        <v>2017</v>
      </c>
      <c r="B143" s="6" t="s">
        <v>3</v>
      </c>
      <c r="C143" s="48" t="s">
        <v>10</v>
      </c>
      <c r="D143" s="51" t="s">
        <v>60</v>
      </c>
      <c r="E143" s="76">
        <v>12</v>
      </c>
    </row>
    <row r="144" spans="1:8" ht="15.75" x14ac:dyDescent="0.2">
      <c r="A144" s="28">
        <v>2017</v>
      </c>
      <c r="B144" s="6" t="s">
        <v>15</v>
      </c>
      <c r="C144" s="48" t="s">
        <v>58</v>
      </c>
      <c r="D144" s="51" t="s">
        <v>59</v>
      </c>
      <c r="E144" s="75">
        <v>269.89999999999998</v>
      </c>
      <c r="F144" s="54">
        <f t="shared" si="2"/>
        <v>9.3068965517241367</v>
      </c>
    </row>
    <row r="145" spans="1:8" ht="15.75" x14ac:dyDescent="0.2">
      <c r="A145" s="28">
        <v>2017</v>
      </c>
      <c r="B145" s="6" t="s">
        <v>15</v>
      </c>
      <c r="C145" s="48" t="s">
        <v>58</v>
      </c>
      <c r="D145" s="51" t="s">
        <v>60</v>
      </c>
      <c r="E145" s="76">
        <v>29</v>
      </c>
    </row>
    <row r="146" spans="1:8" ht="15.75" x14ac:dyDescent="0.2">
      <c r="A146" s="28">
        <v>2017</v>
      </c>
      <c r="B146" s="6" t="s">
        <v>15</v>
      </c>
      <c r="C146" s="49" t="s">
        <v>5</v>
      </c>
      <c r="D146" s="51" t="s">
        <v>59</v>
      </c>
      <c r="E146" s="77">
        <v>450.3</v>
      </c>
      <c r="F146" s="54">
        <f t="shared" si="2"/>
        <v>16.315217391304348</v>
      </c>
    </row>
    <row r="147" spans="1:8" ht="15.75" x14ac:dyDescent="0.2">
      <c r="A147" s="28">
        <v>2017</v>
      </c>
      <c r="B147" s="6" t="s">
        <v>15</v>
      </c>
      <c r="C147" s="49" t="s">
        <v>5</v>
      </c>
      <c r="D147" s="51" t="s">
        <v>60</v>
      </c>
      <c r="E147" s="78">
        <v>27.6</v>
      </c>
    </row>
    <row r="148" spans="1:8" ht="15.75" x14ac:dyDescent="0.2">
      <c r="A148" s="28">
        <v>2017</v>
      </c>
      <c r="B148" s="6" t="s">
        <v>15</v>
      </c>
      <c r="C148" s="48" t="s">
        <v>6</v>
      </c>
      <c r="D148" s="51" t="s">
        <v>59</v>
      </c>
      <c r="E148" s="75">
        <v>720.2</v>
      </c>
      <c r="F148" s="54">
        <f t="shared" si="2"/>
        <v>22.366459627329192</v>
      </c>
    </row>
    <row r="149" spans="1:8" ht="15.75" x14ac:dyDescent="0.2">
      <c r="A149" s="28">
        <v>2017</v>
      </c>
      <c r="B149" s="6" t="s">
        <v>15</v>
      </c>
      <c r="C149" s="48" t="s">
        <v>6</v>
      </c>
      <c r="D149" s="51" t="s">
        <v>60</v>
      </c>
      <c r="E149" s="76">
        <v>32.200000000000003</v>
      </c>
    </row>
    <row r="150" spans="1:8" ht="15.75" x14ac:dyDescent="0.2">
      <c r="A150" s="28">
        <v>2017</v>
      </c>
      <c r="B150" s="6" t="s">
        <v>15</v>
      </c>
      <c r="C150" s="49" t="s">
        <v>7</v>
      </c>
      <c r="D150" s="51" t="s">
        <v>59</v>
      </c>
      <c r="E150" s="77">
        <v>56.6</v>
      </c>
      <c r="F150" s="54">
        <f t="shared" si="2"/>
        <v>51.454545454545453</v>
      </c>
      <c r="H150" s="50" t="s">
        <v>77</v>
      </c>
    </row>
    <row r="151" spans="1:8" ht="15.75" x14ac:dyDescent="0.2">
      <c r="A151" s="28">
        <v>2017</v>
      </c>
      <c r="B151" s="6" t="s">
        <v>15</v>
      </c>
      <c r="C151" s="49" t="s">
        <v>7</v>
      </c>
      <c r="D151" s="51" t="s">
        <v>60</v>
      </c>
      <c r="E151" s="78">
        <v>1.1000000000000001</v>
      </c>
    </row>
    <row r="152" spans="1:8" ht="15.75" x14ac:dyDescent="0.2">
      <c r="A152" s="28">
        <v>2017</v>
      </c>
      <c r="B152" s="6" t="s">
        <v>15</v>
      </c>
      <c r="C152" s="48" t="s">
        <v>8</v>
      </c>
      <c r="D152" s="51" t="s">
        <v>59</v>
      </c>
      <c r="E152" s="75">
        <v>80.5</v>
      </c>
      <c r="F152" s="54">
        <f t="shared" si="2"/>
        <v>23.676470588235293</v>
      </c>
    </row>
    <row r="153" spans="1:8" ht="15.75" x14ac:dyDescent="0.2">
      <c r="A153" s="28">
        <v>2017</v>
      </c>
      <c r="B153" s="6" t="s">
        <v>15</v>
      </c>
      <c r="C153" s="48" t="s">
        <v>8</v>
      </c>
      <c r="D153" s="51" t="s">
        <v>60</v>
      </c>
      <c r="E153" s="76">
        <v>3.4</v>
      </c>
    </row>
    <row r="154" spans="1:8" ht="15.75" x14ac:dyDescent="0.2">
      <c r="A154" s="28">
        <v>2017</v>
      </c>
      <c r="B154" s="6" t="s">
        <v>15</v>
      </c>
      <c r="C154" s="49" t="s">
        <v>9</v>
      </c>
      <c r="D154" s="51" t="s">
        <v>59</v>
      </c>
      <c r="E154" s="77">
        <v>7.8</v>
      </c>
      <c r="F154" s="54">
        <f t="shared" si="2"/>
        <v>3</v>
      </c>
    </row>
    <row r="155" spans="1:8" ht="15.75" x14ac:dyDescent="0.2">
      <c r="A155" s="28">
        <v>2017</v>
      </c>
      <c r="B155" s="6" t="s">
        <v>15</v>
      </c>
      <c r="C155" s="49" t="s">
        <v>9</v>
      </c>
      <c r="D155" s="51" t="s">
        <v>60</v>
      </c>
      <c r="E155" s="78">
        <v>2.6</v>
      </c>
    </row>
    <row r="156" spans="1:8" ht="15.75" x14ac:dyDescent="0.2">
      <c r="A156" s="28">
        <v>2017</v>
      </c>
      <c r="B156" s="6" t="s">
        <v>15</v>
      </c>
      <c r="C156" s="48" t="s">
        <v>10</v>
      </c>
      <c r="D156" s="51" t="s">
        <v>59</v>
      </c>
      <c r="E156" s="75">
        <v>472.3</v>
      </c>
      <c r="F156" s="54">
        <f t="shared" si="2"/>
        <v>39.358333333333334</v>
      </c>
    </row>
    <row r="157" spans="1:8" ht="15.75" x14ac:dyDescent="0.2">
      <c r="A157" s="28">
        <v>2017</v>
      </c>
      <c r="B157" s="6" t="s">
        <v>15</v>
      </c>
      <c r="C157" s="48" t="s">
        <v>10</v>
      </c>
      <c r="D157" s="51" t="s">
        <v>60</v>
      </c>
      <c r="E157" s="76">
        <v>12</v>
      </c>
    </row>
    <row r="158" spans="1:8" ht="15.75" x14ac:dyDescent="0.2">
      <c r="A158" s="28">
        <v>2017</v>
      </c>
      <c r="B158" s="6" t="s">
        <v>16</v>
      </c>
      <c r="C158" s="48" t="s">
        <v>58</v>
      </c>
      <c r="D158" s="51" t="s">
        <v>59</v>
      </c>
      <c r="E158" s="75">
        <v>273.10000000000002</v>
      </c>
      <c r="F158" s="54">
        <f t="shared" si="2"/>
        <v>9.2576271186440682</v>
      </c>
    </row>
    <row r="159" spans="1:8" ht="15.75" x14ac:dyDescent="0.2">
      <c r="A159" s="28">
        <v>2017</v>
      </c>
      <c r="B159" s="6" t="s">
        <v>16</v>
      </c>
      <c r="C159" s="48" t="s">
        <v>58</v>
      </c>
      <c r="D159" s="51" t="s">
        <v>60</v>
      </c>
      <c r="E159" s="76">
        <v>29.5</v>
      </c>
    </row>
    <row r="160" spans="1:8" ht="15.75" x14ac:dyDescent="0.2">
      <c r="A160" s="28">
        <v>2017</v>
      </c>
      <c r="B160" s="6" t="s">
        <v>16</v>
      </c>
      <c r="C160" s="49" t="s">
        <v>5</v>
      </c>
      <c r="D160" s="51" t="s">
        <v>59</v>
      </c>
      <c r="E160" s="77">
        <v>462.4</v>
      </c>
      <c r="F160" s="54">
        <f t="shared" si="2"/>
        <v>16.339222614840988</v>
      </c>
    </row>
    <row r="161" spans="1:6" ht="15.75" x14ac:dyDescent="0.2">
      <c r="A161" s="28">
        <v>2017</v>
      </c>
      <c r="B161" s="6" t="s">
        <v>16</v>
      </c>
      <c r="C161" s="49" t="s">
        <v>5</v>
      </c>
      <c r="D161" s="51" t="s">
        <v>60</v>
      </c>
      <c r="E161" s="78">
        <v>28.3</v>
      </c>
    </row>
    <row r="162" spans="1:6" ht="15.75" x14ac:dyDescent="0.2">
      <c r="A162" s="28">
        <v>2017</v>
      </c>
      <c r="B162" s="6" t="s">
        <v>16</v>
      </c>
      <c r="C162" s="48" t="s">
        <v>6</v>
      </c>
      <c r="D162" s="51" t="s">
        <v>59</v>
      </c>
      <c r="E162" s="75">
        <v>735.5</v>
      </c>
      <c r="F162" s="54">
        <f t="shared" si="2"/>
        <v>22.355623100303951</v>
      </c>
    </row>
    <row r="163" spans="1:6" ht="15.75" x14ac:dyDescent="0.2">
      <c r="A163" s="28">
        <v>2017</v>
      </c>
      <c r="B163" s="6" t="s">
        <v>16</v>
      </c>
      <c r="C163" s="48" t="s">
        <v>6</v>
      </c>
      <c r="D163" s="51" t="s">
        <v>60</v>
      </c>
      <c r="E163" s="76">
        <v>32.9</v>
      </c>
    </row>
    <row r="164" spans="1:6" ht="15.75" x14ac:dyDescent="0.2">
      <c r="A164" s="28">
        <v>2017</v>
      </c>
      <c r="B164" s="6" t="s">
        <v>16</v>
      </c>
      <c r="C164" s="49" t="s">
        <v>7</v>
      </c>
      <c r="D164" s="51" t="s">
        <v>59</v>
      </c>
      <c r="E164" s="77">
        <v>59.7</v>
      </c>
      <c r="F164" s="54">
        <f t="shared" si="2"/>
        <v>49.750000000000007</v>
      </c>
    </row>
    <row r="165" spans="1:6" ht="15.75" x14ac:dyDescent="0.2">
      <c r="A165" s="28">
        <v>2017</v>
      </c>
      <c r="B165" s="6" t="s">
        <v>16</v>
      </c>
      <c r="C165" s="49" t="s">
        <v>7</v>
      </c>
      <c r="D165" s="51" t="s">
        <v>60</v>
      </c>
      <c r="E165" s="78">
        <v>1.2</v>
      </c>
    </row>
    <row r="166" spans="1:6" ht="15.75" x14ac:dyDescent="0.2">
      <c r="A166" s="28">
        <v>2017</v>
      </c>
      <c r="B166" s="6" t="s">
        <v>16</v>
      </c>
      <c r="C166" s="48" t="s">
        <v>8</v>
      </c>
      <c r="D166" s="51" t="s">
        <v>59</v>
      </c>
      <c r="E166" s="75">
        <v>83.9</v>
      </c>
      <c r="F166" s="54">
        <f t="shared" si="2"/>
        <v>23.971428571428572</v>
      </c>
    </row>
    <row r="167" spans="1:6" ht="15.75" x14ac:dyDescent="0.2">
      <c r="A167" s="28">
        <v>2017</v>
      </c>
      <c r="B167" s="6" t="s">
        <v>16</v>
      </c>
      <c r="C167" s="48" t="s">
        <v>8</v>
      </c>
      <c r="D167" s="51" t="s">
        <v>60</v>
      </c>
      <c r="E167" s="76">
        <v>3.5</v>
      </c>
    </row>
    <row r="168" spans="1:6" ht="15.75" x14ac:dyDescent="0.2">
      <c r="A168" s="28">
        <v>2017</v>
      </c>
      <c r="B168" s="6" t="s">
        <v>16</v>
      </c>
      <c r="C168" s="49" t="s">
        <v>9</v>
      </c>
      <c r="D168" s="51" t="s">
        <v>59</v>
      </c>
      <c r="E168" s="77">
        <v>7.6</v>
      </c>
      <c r="F168" s="54">
        <f t="shared" si="2"/>
        <v>3.04</v>
      </c>
    </row>
    <row r="169" spans="1:6" ht="15.75" x14ac:dyDescent="0.2">
      <c r="A169" s="28">
        <v>2017</v>
      </c>
      <c r="B169" s="6" t="s">
        <v>16</v>
      </c>
      <c r="C169" s="49" t="s">
        <v>9</v>
      </c>
      <c r="D169" s="51" t="s">
        <v>60</v>
      </c>
      <c r="E169" s="78">
        <v>2.5</v>
      </c>
    </row>
    <row r="170" spans="1:6" ht="15.75" x14ac:dyDescent="0.2">
      <c r="A170" s="28">
        <v>2017</v>
      </c>
      <c r="B170" s="6" t="s">
        <v>16</v>
      </c>
      <c r="C170" s="48" t="s">
        <v>10</v>
      </c>
      <c r="D170" s="51" t="s">
        <v>59</v>
      </c>
      <c r="E170" s="75">
        <v>480.3</v>
      </c>
      <c r="F170" s="54">
        <f t="shared" si="2"/>
        <v>40.024999999999999</v>
      </c>
    </row>
    <row r="171" spans="1:6" ht="15.75" x14ac:dyDescent="0.2">
      <c r="A171" s="28">
        <v>2017</v>
      </c>
      <c r="B171" s="6" t="s">
        <v>16</v>
      </c>
      <c r="C171" s="48" t="s">
        <v>10</v>
      </c>
      <c r="D171" s="51" t="s">
        <v>60</v>
      </c>
      <c r="E171" s="76">
        <v>12</v>
      </c>
    </row>
    <row r="172" spans="1:6" ht="15.75" x14ac:dyDescent="0.2">
      <c r="A172" s="28">
        <v>2018</v>
      </c>
      <c r="B172" s="6" t="s">
        <v>18</v>
      </c>
      <c r="C172" s="48" t="s">
        <v>58</v>
      </c>
      <c r="D172" s="51" t="s">
        <v>59</v>
      </c>
      <c r="E172" s="75">
        <v>272.2</v>
      </c>
      <c r="F172" s="54">
        <f t="shared" si="2"/>
        <v>9.1959459459459456</v>
      </c>
    </row>
    <row r="173" spans="1:6" ht="15.75" x14ac:dyDescent="0.2">
      <c r="A173" s="28">
        <v>2018</v>
      </c>
      <c r="B173" s="6" t="s">
        <v>18</v>
      </c>
      <c r="C173" s="48" t="s">
        <v>58</v>
      </c>
      <c r="D173" s="51" t="s">
        <v>60</v>
      </c>
      <c r="E173" s="76">
        <v>29.6</v>
      </c>
    </row>
    <row r="174" spans="1:6" ht="15.75" x14ac:dyDescent="0.2">
      <c r="A174" s="28">
        <v>2018</v>
      </c>
      <c r="B174" s="6" t="s">
        <v>18</v>
      </c>
      <c r="C174" s="49" t="s">
        <v>5</v>
      </c>
      <c r="D174" s="51" t="s">
        <v>59</v>
      </c>
      <c r="E174" s="77">
        <v>463.3</v>
      </c>
      <c r="F174" s="54">
        <f t="shared" si="2"/>
        <v>16.313380281690144</v>
      </c>
    </row>
    <row r="175" spans="1:6" ht="15.75" x14ac:dyDescent="0.2">
      <c r="A175" s="28">
        <v>2018</v>
      </c>
      <c r="B175" s="6" t="s">
        <v>18</v>
      </c>
      <c r="C175" s="49" t="s">
        <v>5</v>
      </c>
      <c r="D175" s="51" t="s">
        <v>60</v>
      </c>
      <c r="E175" s="78">
        <v>28.4</v>
      </c>
    </row>
    <row r="176" spans="1:6" ht="15.75" x14ac:dyDescent="0.2">
      <c r="A176" s="28">
        <v>2018</v>
      </c>
      <c r="B176" s="6" t="s">
        <v>18</v>
      </c>
      <c r="C176" s="48" t="s">
        <v>6</v>
      </c>
      <c r="D176" s="51" t="s">
        <v>59</v>
      </c>
      <c r="E176" s="75">
        <v>735.5</v>
      </c>
      <c r="F176" s="54">
        <f t="shared" si="2"/>
        <v>22.287878787878789</v>
      </c>
    </row>
    <row r="177" spans="1:8" ht="15.75" x14ac:dyDescent="0.2">
      <c r="A177" s="28">
        <v>2018</v>
      </c>
      <c r="B177" s="6" t="s">
        <v>18</v>
      </c>
      <c r="C177" s="48" t="s">
        <v>6</v>
      </c>
      <c r="D177" s="51" t="s">
        <v>60</v>
      </c>
      <c r="E177" s="76">
        <v>33</v>
      </c>
    </row>
    <row r="178" spans="1:8" ht="15.75" x14ac:dyDescent="0.2">
      <c r="A178" s="28">
        <v>2018</v>
      </c>
      <c r="B178" s="6" t="s">
        <v>18</v>
      </c>
      <c r="C178" s="49" t="s">
        <v>7</v>
      </c>
      <c r="D178" s="51" t="s">
        <v>59</v>
      </c>
      <c r="E178" s="77">
        <v>59.6</v>
      </c>
      <c r="F178" s="54">
        <f t="shared" si="2"/>
        <v>49.666666666666671</v>
      </c>
    </row>
    <row r="179" spans="1:8" ht="15.75" x14ac:dyDescent="0.2">
      <c r="A179" s="28">
        <v>2018</v>
      </c>
      <c r="B179" s="6" t="s">
        <v>18</v>
      </c>
      <c r="C179" s="49" t="s">
        <v>7</v>
      </c>
      <c r="D179" s="51" t="s">
        <v>60</v>
      </c>
      <c r="E179" s="78">
        <v>1.2</v>
      </c>
    </row>
    <row r="180" spans="1:8" ht="15.75" x14ac:dyDescent="0.2">
      <c r="A180" s="28">
        <v>2018</v>
      </c>
      <c r="B180" s="6" t="s">
        <v>18</v>
      </c>
      <c r="C180" s="48" t="s">
        <v>8</v>
      </c>
      <c r="D180" s="51" t="s">
        <v>59</v>
      </c>
      <c r="E180" s="75">
        <v>83.7</v>
      </c>
      <c r="F180" s="54">
        <f t="shared" si="2"/>
        <v>23.914285714285715</v>
      </c>
    </row>
    <row r="181" spans="1:8" ht="15.75" x14ac:dyDescent="0.2">
      <c r="A181" s="28">
        <v>2018</v>
      </c>
      <c r="B181" s="6" t="s">
        <v>18</v>
      </c>
      <c r="C181" s="48" t="s">
        <v>8</v>
      </c>
      <c r="D181" s="51" t="s">
        <v>60</v>
      </c>
      <c r="E181" s="76">
        <v>3.5</v>
      </c>
    </row>
    <row r="182" spans="1:8" ht="15.75" x14ac:dyDescent="0.2">
      <c r="A182" s="28">
        <v>2018</v>
      </c>
      <c r="B182" s="6" t="s">
        <v>18</v>
      </c>
      <c r="C182" s="49" t="s">
        <v>9</v>
      </c>
      <c r="D182" s="51" t="s">
        <v>59</v>
      </c>
      <c r="E182" s="77">
        <v>7.6</v>
      </c>
      <c r="F182" s="54">
        <f t="shared" si="2"/>
        <v>3.04</v>
      </c>
    </row>
    <row r="183" spans="1:8" ht="15.75" x14ac:dyDescent="0.2">
      <c r="A183" s="28">
        <v>2018</v>
      </c>
      <c r="B183" s="6" t="s">
        <v>18</v>
      </c>
      <c r="C183" s="49" t="s">
        <v>9</v>
      </c>
      <c r="D183" s="51" t="s">
        <v>60</v>
      </c>
      <c r="E183" s="78">
        <v>2.5</v>
      </c>
    </row>
    <row r="184" spans="1:8" ht="15.75" x14ac:dyDescent="0.2">
      <c r="A184" s="28">
        <v>2018</v>
      </c>
      <c r="B184" s="6" t="s">
        <v>18</v>
      </c>
      <c r="C184" s="48" t="s">
        <v>10</v>
      </c>
      <c r="D184" s="51" t="s">
        <v>59</v>
      </c>
      <c r="E184" s="75">
        <v>489</v>
      </c>
      <c r="F184" s="54">
        <f t="shared" si="2"/>
        <v>40.75</v>
      </c>
    </row>
    <row r="185" spans="1:8" ht="15.75" x14ac:dyDescent="0.2">
      <c r="A185" s="28">
        <v>2018</v>
      </c>
      <c r="B185" s="6" t="s">
        <v>18</v>
      </c>
      <c r="C185" s="48" t="s">
        <v>10</v>
      </c>
      <c r="D185" s="51" t="s">
        <v>60</v>
      </c>
      <c r="E185" s="76">
        <v>12</v>
      </c>
    </row>
    <row r="186" spans="1:8" ht="15.75" x14ac:dyDescent="0.2">
      <c r="A186" s="28">
        <v>2018</v>
      </c>
      <c r="B186" s="6" t="s">
        <v>3</v>
      </c>
      <c r="C186" s="48" t="s">
        <v>58</v>
      </c>
      <c r="D186" s="51" t="s">
        <v>59</v>
      </c>
      <c r="E186" s="75">
        <v>276.39999999999998</v>
      </c>
      <c r="F186" s="54">
        <f t="shared" si="2"/>
        <v>9.3694915254237277</v>
      </c>
    </row>
    <row r="187" spans="1:8" ht="15.75" x14ac:dyDescent="0.2">
      <c r="A187" s="28">
        <v>2018</v>
      </c>
      <c r="B187" s="6" t="s">
        <v>3</v>
      </c>
      <c r="C187" s="48" t="s">
        <v>58</v>
      </c>
      <c r="D187" s="51" t="s">
        <v>60</v>
      </c>
      <c r="E187" s="76">
        <v>29.5</v>
      </c>
    </row>
    <row r="188" spans="1:8" ht="15.75" x14ac:dyDescent="0.2">
      <c r="A188" s="28">
        <v>2018</v>
      </c>
      <c r="B188" s="6" t="s">
        <v>3</v>
      </c>
      <c r="C188" s="49" t="s">
        <v>5</v>
      </c>
      <c r="D188" s="51" t="s">
        <v>59</v>
      </c>
      <c r="E188" s="77">
        <v>476.6</v>
      </c>
      <c r="F188" s="54">
        <f t="shared" si="2"/>
        <v>16.840989399293285</v>
      </c>
    </row>
    <row r="189" spans="1:8" ht="15.75" x14ac:dyDescent="0.2">
      <c r="A189" s="28">
        <v>2018</v>
      </c>
      <c r="B189" s="6" t="s">
        <v>3</v>
      </c>
      <c r="C189" s="49" t="s">
        <v>5</v>
      </c>
      <c r="D189" s="51" t="s">
        <v>60</v>
      </c>
      <c r="E189" s="78">
        <v>28.3</v>
      </c>
    </row>
    <row r="190" spans="1:8" ht="15.75" x14ac:dyDescent="0.2">
      <c r="A190" s="28">
        <v>2018</v>
      </c>
      <c r="B190" s="6" t="s">
        <v>3</v>
      </c>
      <c r="C190" s="48" t="s">
        <v>6</v>
      </c>
      <c r="D190" s="51" t="s">
        <v>59</v>
      </c>
      <c r="E190" s="75">
        <v>753</v>
      </c>
      <c r="F190" s="54">
        <f t="shared" si="2"/>
        <v>22.887537993920972</v>
      </c>
    </row>
    <row r="191" spans="1:8" ht="15.75" x14ac:dyDescent="0.2">
      <c r="A191" s="28">
        <v>2018</v>
      </c>
      <c r="B191" s="6" t="s">
        <v>3</v>
      </c>
      <c r="C191" s="48" t="s">
        <v>6</v>
      </c>
      <c r="D191" s="51" t="s">
        <v>60</v>
      </c>
      <c r="E191" s="76">
        <v>32.9</v>
      </c>
    </row>
    <row r="192" spans="1:8" ht="15.75" x14ac:dyDescent="0.2">
      <c r="A192" s="28">
        <v>2018</v>
      </c>
      <c r="B192" s="6" t="s">
        <v>3</v>
      </c>
      <c r="C192" s="49" t="s">
        <v>7</v>
      </c>
      <c r="D192" s="51" t="s">
        <v>59</v>
      </c>
      <c r="E192" s="77">
        <v>62.8</v>
      </c>
      <c r="F192" s="54">
        <f t="shared" si="2"/>
        <v>52.333333333333336</v>
      </c>
      <c r="H192" s="50" t="s">
        <v>77</v>
      </c>
    </row>
    <row r="193" spans="1:8" ht="15.75" x14ac:dyDescent="0.2">
      <c r="A193" s="28">
        <v>2018</v>
      </c>
      <c r="B193" s="6" t="s">
        <v>3</v>
      </c>
      <c r="C193" s="49" t="s">
        <v>7</v>
      </c>
      <c r="D193" s="51" t="s">
        <v>60</v>
      </c>
      <c r="E193" s="78">
        <v>1.2</v>
      </c>
    </row>
    <row r="194" spans="1:8" ht="15.75" x14ac:dyDescent="0.2">
      <c r="A194" s="28">
        <v>2018</v>
      </c>
      <c r="B194" s="6" t="s">
        <v>3</v>
      </c>
      <c r="C194" s="48" t="s">
        <v>8</v>
      </c>
      <c r="D194" s="51" t="s">
        <v>59</v>
      </c>
      <c r="E194" s="75">
        <v>87.7</v>
      </c>
      <c r="F194" s="54">
        <f t="shared" si="2"/>
        <v>25.057142857142857</v>
      </c>
    </row>
    <row r="195" spans="1:8" ht="15.75" x14ac:dyDescent="0.2">
      <c r="A195" s="28">
        <v>2018</v>
      </c>
      <c r="B195" s="6" t="s">
        <v>3</v>
      </c>
      <c r="C195" s="48" t="s">
        <v>8</v>
      </c>
      <c r="D195" s="51" t="s">
        <v>60</v>
      </c>
      <c r="E195" s="76">
        <v>3.5</v>
      </c>
    </row>
    <row r="196" spans="1:8" ht="15.75" x14ac:dyDescent="0.2">
      <c r="A196" s="28">
        <v>2018</v>
      </c>
      <c r="B196" s="6" t="s">
        <v>3</v>
      </c>
      <c r="C196" s="49" t="s">
        <v>9</v>
      </c>
      <c r="D196" s="51" t="s">
        <v>59</v>
      </c>
      <c r="E196" s="77">
        <v>7.6</v>
      </c>
      <c r="F196" s="54">
        <f t="shared" ref="F196:F258" si="3">E196/E197</f>
        <v>3.04</v>
      </c>
    </row>
    <row r="197" spans="1:8" ht="15.75" x14ac:dyDescent="0.2">
      <c r="A197" s="28">
        <v>2018</v>
      </c>
      <c r="B197" s="6" t="s">
        <v>3</v>
      </c>
      <c r="C197" s="49" t="s">
        <v>9</v>
      </c>
      <c r="D197" s="51" t="s">
        <v>60</v>
      </c>
      <c r="E197" s="78">
        <v>2.5</v>
      </c>
    </row>
    <row r="198" spans="1:8" ht="15.75" x14ac:dyDescent="0.2">
      <c r="A198" s="28">
        <v>2018</v>
      </c>
      <c r="B198" s="6" t="s">
        <v>3</v>
      </c>
      <c r="C198" s="48" t="s">
        <v>10</v>
      </c>
      <c r="D198" s="51" t="s">
        <v>59</v>
      </c>
      <c r="E198" s="75">
        <v>495.9</v>
      </c>
      <c r="F198" s="54">
        <f t="shared" si="3"/>
        <v>41.672268907563023</v>
      </c>
    </row>
    <row r="199" spans="1:8" ht="15.75" x14ac:dyDescent="0.2">
      <c r="A199" s="28">
        <v>2018</v>
      </c>
      <c r="B199" s="6" t="s">
        <v>3</v>
      </c>
      <c r="C199" s="48" t="s">
        <v>10</v>
      </c>
      <c r="D199" s="51" t="s">
        <v>60</v>
      </c>
      <c r="E199" s="76">
        <v>11.9</v>
      </c>
    </row>
    <row r="200" spans="1:8" ht="15.75" x14ac:dyDescent="0.2">
      <c r="A200" s="28">
        <v>2018</v>
      </c>
      <c r="B200" s="6" t="s">
        <v>15</v>
      </c>
      <c r="C200" s="48" t="s">
        <v>58</v>
      </c>
      <c r="D200" s="51" t="s">
        <v>59</v>
      </c>
      <c r="E200" s="75">
        <v>274.2</v>
      </c>
      <c r="F200" s="54">
        <f t="shared" si="3"/>
        <v>9.4226804123711325</v>
      </c>
    </row>
    <row r="201" spans="1:8" ht="15.75" x14ac:dyDescent="0.2">
      <c r="A201" s="28">
        <v>2018</v>
      </c>
      <c r="B201" s="6" t="s">
        <v>15</v>
      </c>
      <c r="C201" s="48" t="s">
        <v>58</v>
      </c>
      <c r="D201" s="51" t="s">
        <v>60</v>
      </c>
      <c r="E201" s="76">
        <v>29.1</v>
      </c>
    </row>
    <row r="202" spans="1:8" ht="15.75" x14ac:dyDescent="0.2">
      <c r="A202" s="28">
        <v>2018</v>
      </c>
      <c r="B202" s="6" t="s">
        <v>15</v>
      </c>
      <c r="C202" s="49" t="s">
        <v>5</v>
      </c>
      <c r="D202" s="51" t="s">
        <v>59</v>
      </c>
      <c r="E202" s="77">
        <v>477.8</v>
      </c>
      <c r="F202" s="54">
        <f t="shared" si="3"/>
        <v>17.064285714285713</v>
      </c>
    </row>
    <row r="203" spans="1:8" ht="15.75" x14ac:dyDescent="0.2">
      <c r="A203" s="28">
        <v>2018</v>
      </c>
      <c r="B203" s="6" t="s">
        <v>15</v>
      </c>
      <c r="C203" s="49" t="s">
        <v>5</v>
      </c>
      <c r="D203" s="51" t="s">
        <v>60</v>
      </c>
      <c r="E203" s="78">
        <v>28</v>
      </c>
    </row>
    <row r="204" spans="1:8" ht="15.75" x14ac:dyDescent="0.2">
      <c r="A204" s="28">
        <v>2018</v>
      </c>
      <c r="B204" s="6" t="s">
        <v>15</v>
      </c>
      <c r="C204" s="48" t="s">
        <v>6</v>
      </c>
      <c r="D204" s="51" t="s">
        <v>59</v>
      </c>
      <c r="E204" s="75">
        <v>752.1</v>
      </c>
      <c r="F204" s="54">
        <f t="shared" si="3"/>
        <v>23.141538461538463</v>
      </c>
    </row>
    <row r="205" spans="1:8" ht="15.75" x14ac:dyDescent="0.2">
      <c r="A205" s="28">
        <v>2018</v>
      </c>
      <c r="B205" s="6" t="s">
        <v>15</v>
      </c>
      <c r="C205" s="48" t="s">
        <v>6</v>
      </c>
      <c r="D205" s="51" t="s">
        <v>60</v>
      </c>
      <c r="E205" s="76">
        <v>32.5</v>
      </c>
    </row>
    <row r="206" spans="1:8" ht="15.75" x14ac:dyDescent="0.2">
      <c r="A206" s="28">
        <v>2018</v>
      </c>
      <c r="B206" s="6" t="s">
        <v>15</v>
      </c>
      <c r="C206" s="49" t="s">
        <v>7</v>
      </c>
      <c r="D206" s="51" t="s">
        <v>59</v>
      </c>
      <c r="E206" s="77">
        <v>63.9</v>
      </c>
      <c r="F206" s="54">
        <f t="shared" si="3"/>
        <v>53.25</v>
      </c>
      <c r="H206" s="50" t="s">
        <v>77</v>
      </c>
    </row>
    <row r="207" spans="1:8" ht="15.75" x14ac:dyDescent="0.2">
      <c r="A207" s="28">
        <v>2018</v>
      </c>
      <c r="B207" s="6" t="s">
        <v>15</v>
      </c>
      <c r="C207" s="49" t="s">
        <v>7</v>
      </c>
      <c r="D207" s="51" t="s">
        <v>60</v>
      </c>
      <c r="E207" s="78">
        <v>1.2</v>
      </c>
    </row>
    <row r="208" spans="1:8" ht="15.75" x14ac:dyDescent="0.2">
      <c r="A208" s="28">
        <v>2018</v>
      </c>
      <c r="B208" s="6" t="s">
        <v>15</v>
      </c>
      <c r="C208" s="48" t="s">
        <v>8</v>
      </c>
      <c r="D208" s="51" t="s">
        <v>59</v>
      </c>
      <c r="E208" s="75">
        <v>86.7</v>
      </c>
      <c r="F208" s="54">
        <f t="shared" si="3"/>
        <v>25.5</v>
      </c>
    </row>
    <row r="209" spans="1:8" ht="15.75" x14ac:dyDescent="0.2">
      <c r="A209" s="28">
        <v>2018</v>
      </c>
      <c r="B209" s="6" t="s">
        <v>15</v>
      </c>
      <c r="C209" s="48" t="s">
        <v>8</v>
      </c>
      <c r="D209" s="51" t="s">
        <v>60</v>
      </c>
      <c r="E209" s="76">
        <v>3.4</v>
      </c>
    </row>
    <row r="210" spans="1:8" ht="15.75" x14ac:dyDescent="0.2">
      <c r="A210" s="28">
        <v>2018</v>
      </c>
      <c r="B210" s="6" t="s">
        <v>15</v>
      </c>
      <c r="C210" s="49" t="s">
        <v>9</v>
      </c>
      <c r="D210" s="51" t="s">
        <v>59</v>
      </c>
      <c r="E210" s="77">
        <v>7.4</v>
      </c>
      <c r="F210" s="54">
        <f t="shared" si="3"/>
        <v>3.0833333333333335</v>
      </c>
    </row>
    <row r="211" spans="1:8" ht="15.75" x14ac:dyDescent="0.2">
      <c r="A211" s="28">
        <v>2018</v>
      </c>
      <c r="B211" s="6" t="s">
        <v>15</v>
      </c>
      <c r="C211" s="49" t="s">
        <v>9</v>
      </c>
      <c r="D211" s="51" t="s">
        <v>60</v>
      </c>
      <c r="E211" s="78">
        <v>2.4</v>
      </c>
    </row>
    <row r="212" spans="1:8" ht="15.75" x14ac:dyDescent="0.2">
      <c r="A212" s="28">
        <v>2018</v>
      </c>
      <c r="B212" s="6" t="s">
        <v>15</v>
      </c>
      <c r="C212" s="48" t="s">
        <v>10</v>
      </c>
      <c r="D212" s="51" t="s">
        <v>59</v>
      </c>
      <c r="E212" s="75">
        <v>501.9</v>
      </c>
      <c r="F212" s="54">
        <f t="shared" si="3"/>
        <v>42.17647058823529</v>
      </c>
    </row>
    <row r="213" spans="1:8" ht="15.75" x14ac:dyDescent="0.2">
      <c r="A213" s="28">
        <v>2018</v>
      </c>
      <c r="B213" s="6" t="s">
        <v>15</v>
      </c>
      <c r="C213" s="48" t="s">
        <v>10</v>
      </c>
      <c r="D213" s="51" t="s">
        <v>60</v>
      </c>
      <c r="E213" s="76">
        <v>11.9</v>
      </c>
    </row>
    <row r="214" spans="1:8" ht="15.75" x14ac:dyDescent="0.2">
      <c r="A214" s="28">
        <v>2018</v>
      </c>
      <c r="B214" s="6" t="s">
        <v>16</v>
      </c>
      <c r="C214" s="48" t="s">
        <v>58</v>
      </c>
      <c r="D214" s="51" t="s">
        <v>59</v>
      </c>
      <c r="E214" s="75">
        <v>277.5</v>
      </c>
      <c r="F214" s="54">
        <f t="shared" si="3"/>
        <v>9.375</v>
      </c>
    </row>
    <row r="215" spans="1:8" ht="15.75" x14ac:dyDescent="0.2">
      <c r="A215" s="28">
        <v>2018</v>
      </c>
      <c r="B215" s="6" t="s">
        <v>16</v>
      </c>
      <c r="C215" s="48" t="s">
        <v>58</v>
      </c>
      <c r="D215" s="51" t="s">
        <v>60</v>
      </c>
      <c r="E215" s="76">
        <v>29.6</v>
      </c>
    </row>
    <row r="216" spans="1:8" ht="15.75" x14ac:dyDescent="0.2">
      <c r="A216" s="28">
        <v>2018</v>
      </c>
      <c r="B216" s="6" t="s">
        <v>16</v>
      </c>
      <c r="C216" s="49" t="s">
        <v>5</v>
      </c>
      <c r="D216" s="51" t="s">
        <v>59</v>
      </c>
      <c r="E216" s="77">
        <v>489.6</v>
      </c>
      <c r="F216" s="54">
        <f t="shared" si="3"/>
        <v>17.059233449477354</v>
      </c>
    </row>
    <row r="217" spans="1:8" ht="15.75" x14ac:dyDescent="0.2">
      <c r="A217" s="28">
        <v>2018</v>
      </c>
      <c r="B217" s="6" t="s">
        <v>16</v>
      </c>
      <c r="C217" s="49" t="s">
        <v>5</v>
      </c>
      <c r="D217" s="51" t="s">
        <v>60</v>
      </c>
      <c r="E217" s="78">
        <v>28.7</v>
      </c>
    </row>
    <row r="218" spans="1:8" ht="15.75" x14ac:dyDescent="0.2">
      <c r="A218" s="28">
        <v>2018</v>
      </c>
      <c r="B218" s="6" t="s">
        <v>16</v>
      </c>
      <c r="C218" s="48" t="s">
        <v>6</v>
      </c>
      <c r="D218" s="51" t="s">
        <v>59</v>
      </c>
      <c r="E218" s="75">
        <v>767.1</v>
      </c>
      <c r="F218" s="54">
        <f t="shared" si="3"/>
        <v>23.17522658610272</v>
      </c>
    </row>
    <row r="219" spans="1:8" ht="15.75" x14ac:dyDescent="0.2">
      <c r="A219" s="28">
        <v>2018</v>
      </c>
      <c r="B219" s="6" t="s">
        <v>16</v>
      </c>
      <c r="C219" s="48" t="s">
        <v>6</v>
      </c>
      <c r="D219" s="51" t="s">
        <v>60</v>
      </c>
      <c r="E219" s="76">
        <v>33.1</v>
      </c>
    </row>
    <row r="220" spans="1:8" ht="15.75" x14ac:dyDescent="0.2">
      <c r="A220" s="28">
        <v>2018</v>
      </c>
      <c r="B220" s="6" t="s">
        <v>16</v>
      </c>
      <c r="C220" s="49" t="s">
        <v>7</v>
      </c>
      <c r="D220" s="51" t="s">
        <v>59</v>
      </c>
      <c r="E220" s="77">
        <v>67</v>
      </c>
      <c r="F220" s="54">
        <f t="shared" si="3"/>
        <v>51.53846153846154</v>
      </c>
      <c r="H220" s="50" t="s">
        <v>77</v>
      </c>
    </row>
    <row r="221" spans="1:8" ht="15.75" x14ac:dyDescent="0.2">
      <c r="A221" s="28">
        <v>2018</v>
      </c>
      <c r="B221" s="6" t="s">
        <v>16</v>
      </c>
      <c r="C221" s="49" t="s">
        <v>7</v>
      </c>
      <c r="D221" s="51" t="s">
        <v>60</v>
      </c>
      <c r="E221" s="78">
        <v>1.3</v>
      </c>
    </row>
    <row r="222" spans="1:8" ht="15.75" x14ac:dyDescent="0.2">
      <c r="A222" s="28">
        <v>2018</v>
      </c>
      <c r="B222" s="6" t="s">
        <v>16</v>
      </c>
      <c r="C222" s="48" t="s">
        <v>8</v>
      </c>
      <c r="D222" s="51" t="s">
        <v>59</v>
      </c>
      <c r="E222" s="75">
        <v>89.9</v>
      </c>
      <c r="F222" s="54">
        <f t="shared" si="3"/>
        <v>24.972222222222221</v>
      </c>
    </row>
    <row r="223" spans="1:8" ht="15.75" x14ac:dyDescent="0.2">
      <c r="A223" s="28">
        <v>2018</v>
      </c>
      <c r="B223" s="6" t="s">
        <v>16</v>
      </c>
      <c r="C223" s="48" t="s">
        <v>8</v>
      </c>
      <c r="D223" s="51" t="s">
        <v>60</v>
      </c>
      <c r="E223" s="76">
        <v>3.6</v>
      </c>
    </row>
    <row r="224" spans="1:8" ht="15.75" x14ac:dyDescent="0.2">
      <c r="A224" s="28">
        <v>2018</v>
      </c>
      <c r="B224" s="6" t="s">
        <v>16</v>
      </c>
      <c r="C224" s="49" t="s">
        <v>9</v>
      </c>
      <c r="D224" s="51" t="s">
        <v>59</v>
      </c>
      <c r="E224" s="77">
        <v>7.1</v>
      </c>
      <c r="F224" s="54">
        <f t="shared" si="3"/>
        <v>3.0869565217391304</v>
      </c>
    </row>
    <row r="225" spans="1:6" ht="15.75" x14ac:dyDescent="0.2">
      <c r="A225" s="28">
        <v>2018</v>
      </c>
      <c r="B225" s="6" t="s">
        <v>16</v>
      </c>
      <c r="C225" s="49" t="s">
        <v>9</v>
      </c>
      <c r="D225" s="51" t="s">
        <v>60</v>
      </c>
      <c r="E225" s="78">
        <v>2.2999999999999998</v>
      </c>
    </row>
    <row r="226" spans="1:6" ht="15.75" x14ac:dyDescent="0.2">
      <c r="A226" s="28">
        <v>2018</v>
      </c>
      <c r="B226" s="6" t="s">
        <v>16</v>
      </c>
      <c r="C226" s="48" t="s">
        <v>10</v>
      </c>
      <c r="D226" s="51" t="s">
        <v>59</v>
      </c>
      <c r="E226" s="75">
        <v>508</v>
      </c>
      <c r="F226" s="54">
        <f t="shared" si="3"/>
        <v>42.689075630252098</v>
      </c>
    </row>
    <row r="227" spans="1:6" ht="15.75" x14ac:dyDescent="0.2">
      <c r="A227" s="28">
        <v>2018</v>
      </c>
      <c r="B227" s="6" t="s">
        <v>16</v>
      </c>
      <c r="C227" s="48" t="s">
        <v>10</v>
      </c>
      <c r="D227" s="51" t="s">
        <v>60</v>
      </c>
      <c r="E227" s="76">
        <v>11.9</v>
      </c>
    </row>
    <row r="228" spans="1:6" ht="15.75" x14ac:dyDescent="0.2">
      <c r="A228" s="28">
        <v>2019</v>
      </c>
      <c r="B228" s="6" t="s">
        <v>18</v>
      </c>
      <c r="C228" s="48" t="s">
        <v>58</v>
      </c>
      <c r="D228" s="51" t="s">
        <v>59</v>
      </c>
      <c r="E228" s="75">
        <v>276.8</v>
      </c>
      <c r="F228" s="54">
        <f t="shared" si="3"/>
        <v>9.3198653198653201</v>
      </c>
    </row>
    <row r="229" spans="1:6" ht="15.75" x14ac:dyDescent="0.2">
      <c r="A229" s="28">
        <v>2019</v>
      </c>
      <c r="B229" s="6" t="s">
        <v>18</v>
      </c>
      <c r="C229" s="48" t="s">
        <v>58</v>
      </c>
      <c r="D229" s="51" t="s">
        <v>60</v>
      </c>
      <c r="E229" s="76">
        <v>29.7</v>
      </c>
    </row>
    <row r="230" spans="1:6" ht="15.75" x14ac:dyDescent="0.2">
      <c r="A230" s="28">
        <v>2019</v>
      </c>
      <c r="B230" s="6" t="s">
        <v>18</v>
      </c>
      <c r="C230" s="49" t="s">
        <v>5</v>
      </c>
      <c r="D230" s="51" t="s">
        <v>59</v>
      </c>
      <c r="E230" s="77">
        <v>490.9</v>
      </c>
      <c r="F230" s="54">
        <f t="shared" si="3"/>
        <v>17.045138888888889</v>
      </c>
    </row>
    <row r="231" spans="1:6" ht="15.75" x14ac:dyDescent="0.2">
      <c r="A231" s="28">
        <v>2019</v>
      </c>
      <c r="B231" s="6" t="s">
        <v>18</v>
      </c>
      <c r="C231" s="49" t="s">
        <v>5</v>
      </c>
      <c r="D231" s="51" t="s">
        <v>60</v>
      </c>
      <c r="E231" s="78">
        <v>28.8</v>
      </c>
    </row>
    <row r="232" spans="1:6" ht="15.75" x14ac:dyDescent="0.2">
      <c r="A232" s="28">
        <v>2019</v>
      </c>
      <c r="B232" s="6" t="s">
        <v>18</v>
      </c>
      <c r="C232" s="48" t="s">
        <v>6</v>
      </c>
      <c r="D232" s="51" t="s">
        <v>59</v>
      </c>
      <c r="E232" s="75">
        <v>767.7</v>
      </c>
      <c r="F232" s="54">
        <f t="shared" si="3"/>
        <v>23.054054054054056</v>
      </c>
    </row>
    <row r="233" spans="1:6" ht="15.75" x14ac:dyDescent="0.2">
      <c r="A233" s="28">
        <v>2019</v>
      </c>
      <c r="B233" s="6" t="s">
        <v>18</v>
      </c>
      <c r="C233" s="48" t="s">
        <v>6</v>
      </c>
      <c r="D233" s="51" t="s">
        <v>60</v>
      </c>
      <c r="E233" s="76">
        <v>33.299999999999997</v>
      </c>
    </row>
    <row r="234" spans="1:6" ht="15.75" x14ac:dyDescent="0.2">
      <c r="A234" s="28">
        <v>2019</v>
      </c>
      <c r="B234" s="6" t="s">
        <v>18</v>
      </c>
      <c r="C234" s="49" t="s">
        <v>7</v>
      </c>
      <c r="D234" s="51" t="s">
        <v>59</v>
      </c>
      <c r="E234" s="77">
        <v>71.3</v>
      </c>
      <c r="F234" s="54">
        <f t="shared" si="3"/>
        <v>47.533333333333331</v>
      </c>
    </row>
    <row r="235" spans="1:6" ht="15.75" x14ac:dyDescent="0.2">
      <c r="A235" s="28">
        <v>2019</v>
      </c>
      <c r="B235" s="6" t="s">
        <v>18</v>
      </c>
      <c r="C235" s="49" t="s">
        <v>7</v>
      </c>
      <c r="D235" s="51" t="s">
        <v>60</v>
      </c>
      <c r="E235" s="78">
        <v>1.5</v>
      </c>
    </row>
    <row r="236" spans="1:6" ht="15.75" x14ac:dyDescent="0.2">
      <c r="A236" s="28">
        <v>2019</v>
      </c>
      <c r="B236" s="6" t="s">
        <v>18</v>
      </c>
      <c r="C236" s="48" t="s">
        <v>8</v>
      </c>
      <c r="D236" s="51" t="s">
        <v>59</v>
      </c>
      <c r="E236" s="75">
        <v>89.8</v>
      </c>
      <c r="F236" s="54">
        <f t="shared" si="3"/>
        <v>24.944444444444443</v>
      </c>
    </row>
    <row r="237" spans="1:6" ht="15.75" x14ac:dyDescent="0.2">
      <c r="A237" s="28">
        <v>2019</v>
      </c>
      <c r="B237" s="6" t="s">
        <v>18</v>
      </c>
      <c r="C237" s="48" t="s">
        <v>8</v>
      </c>
      <c r="D237" s="51" t="s">
        <v>60</v>
      </c>
      <c r="E237" s="76">
        <v>3.6</v>
      </c>
    </row>
    <row r="238" spans="1:6" ht="15.75" x14ac:dyDescent="0.2">
      <c r="A238" s="28">
        <v>2019</v>
      </c>
      <c r="B238" s="6" t="s">
        <v>18</v>
      </c>
      <c r="C238" s="49" t="s">
        <v>9</v>
      </c>
      <c r="D238" s="51" t="s">
        <v>59</v>
      </c>
      <c r="E238" s="77">
        <v>6.9</v>
      </c>
      <c r="F238" s="54">
        <f t="shared" si="3"/>
        <v>3.1363636363636362</v>
      </c>
    </row>
    <row r="239" spans="1:6" ht="15.75" x14ac:dyDescent="0.2">
      <c r="A239" s="28">
        <v>2019</v>
      </c>
      <c r="B239" s="6" t="s">
        <v>18</v>
      </c>
      <c r="C239" s="49" t="s">
        <v>9</v>
      </c>
      <c r="D239" s="51" t="s">
        <v>60</v>
      </c>
      <c r="E239" s="78">
        <v>2.2000000000000002</v>
      </c>
    </row>
    <row r="240" spans="1:6" ht="15.75" x14ac:dyDescent="0.2">
      <c r="A240" s="28">
        <v>2019</v>
      </c>
      <c r="B240" s="6" t="s">
        <v>18</v>
      </c>
      <c r="C240" s="48" t="s">
        <v>10</v>
      </c>
      <c r="D240" s="51" t="s">
        <v>59</v>
      </c>
      <c r="E240" s="75">
        <v>515.6</v>
      </c>
      <c r="F240" s="54">
        <f t="shared" si="3"/>
        <v>43.694915254237287</v>
      </c>
    </row>
    <row r="241" spans="1:8" ht="15.75" x14ac:dyDescent="0.2">
      <c r="A241" s="28">
        <v>2019</v>
      </c>
      <c r="B241" s="6" t="s">
        <v>18</v>
      </c>
      <c r="C241" s="48" t="s">
        <v>10</v>
      </c>
      <c r="D241" s="51" t="s">
        <v>60</v>
      </c>
      <c r="E241" s="76">
        <v>11.8</v>
      </c>
    </row>
    <row r="242" spans="1:8" ht="15.75" x14ac:dyDescent="0.2">
      <c r="A242" s="28">
        <v>2019</v>
      </c>
      <c r="B242" s="6" t="s">
        <v>3</v>
      </c>
      <c r="C242" s="48" t="s">
        <v>58</v>
      </c>
      <c r="D242" s="51" t="s">
        <v>59</v>
      </c>
      <c r="E242" s="75">
        <v>280</v>
      </c>
      <c r="F242" s="54">
        <f t="shared" si="3"/>
        <v>9.4915254237288131</v>
      </c>
    </row>
    <row r="243" spans="1:8" ht="15.75" x14ac:dyDescent="0.2">
      <c r="A243" s="28">
        <v>2019</v>
      </c>
      <c r="B243" s="6" t="s">
        <v>3</v>
      </c>
      <c r="C243" s="48" t="s">
        <v>58</v>
      </c>
      <c r="D243" s="51" t="s">
        <v>60</v>
      </c>
      <c r="E243" s="76">
        <v>29.5</v>
      </c>
    </row>
    <row r="244" spans="1:8" ht="15.75" x14ac:dyDescent="0.2">
      <c r="A244" s="28">
        <v>2019</v>
      </c>
      <c r="B244" s="6" t="s">
        <v>3</v>
      </c>
      <c r="C244" s="49" t="s">
        <v>5</v>
      </c>
      <c r="D244" s="51" t="s">
        <v>59</v>
      </c>
      <c r="E244" s="77">
        <v>503.5</v>
      </c>
      <c r="F244" s="54">
        <f t="shared" si="3"/>
        <v>17.543554006968641</v>
      </c>
    </row>
    <row r="245" spans="1:8" ht="15.75" x14ac:dyDescent="0.2">
      <c r="A245" s="28">
        <v>2019</v>
      </c>
      <c r="B245" s="6" t="s">
        <v>3</v>
      </c>
      <c r="C245" s="49" t="s">
        <v>5</v>
      </c>
      <c r="D245" s="51" t="s">
        <v>60</v>
      </c>
      <c r="E245" s="78">
        <v>28.7</v>
      </c>
    </row>
    <row r="246" spans="1:8" ht="15.75" x14ac:dyDescent="0.2">
      <c r="A246" s="28">
        <v>2019</v>
      </c>
      <c r="B246" s="6" t="s">
        <v>3</v>
      </c>
      <c r="C246" s="48" t="s">
        <v>6</v>
      </c>
      <c r="D246" s="51" t="s">
        <v>59</v>
      </c>
      <c r="E246" s="75">
        <v>783.5</v>
      </c>
      <c r="F246" s="54">
        <f t="shared" si="3"/>
        <v>23.670694864048336</v>
      </c>
    </row>
    <row r="247" spans="1:8" ht="15.75" x14ac:dyDescent="0.2">
      <c r="A247" s="28">
        <v>2019</v>
      </c>
      <c r="B247" s="6" t="s">
        <v>3</v>
      </c>
      <c r="C247" s="48" t="s">
        <v>6</v>
      </c>
      <c r="D247" s="51" t="s">
        <v>60</v>
      </c>
      <c r="E247" s="76">
        <v>33.1</v>
      </c>
    </row>
    <row r="248" spans="1:8" ht="15.75" x14ac:dyDescent="0.2">
      <c r="A248" s="28">
        <v>2019</v>
      </c>
      <c r="B248" s="6" t="s">
        <v>3</v>
      </c>
      <c r="C248" s="49" t="s">
        <v>7</v>
      </c>
      <c r="D248" s="51" t="s">
        <v>59</v>
      </c>
      <c r="E248" s="77">
        <v>70.7</v>
      </c>
      <c r="F248" s="54">
        <f t="shared" si="3"/>
        <v>54.384615384615387</v>
      </c>
      <c r="H248" s="50" t="s">
        <v>77</v>
      </c>
    </row>
    <row r="249" spans="1:8" ht="15.75" x14ac:dyDescent="0.2">
      <c r="A249" s="28">
        <v>2019</v>
      </c>
      <c r="B249" s="6" t="s">
        <v>3</v>
      </c>
      <c r="C249" s="49" t="s">
        <v>7</v>
      </c>
      <c r="D249" s="51" t="s">
        <v>60</v>
      </c>
      <c r="E249" s="78">
        <v>1.3</v>
      </c>
    </row>
    <row r="250" spans="1:8" ht="15.75" x14ac:dyDescent="0.2">
      <c r="A250" s="28">
        <v>2019</v>
      </c>
      <c r="B250" s="6" t="s">
        <v>3</v>
      </c>
      <c r="C250" s="48" t="s">
        <v>8</v>
      </c>
      <c r="D250" s="51" t="s">
        <v>59</v>
      </c>
      <c r="E250" s="75">
        <v>93.9</v>
      </c>
      <c r="F250" s="54">
        <f t="shared" si="3"/>
        <v>26.828571428571429</v>
      </c>
    </row>
    <row r="251" spans="1:8" ht="15.75" x14ac:dyDescent="0.2">
      <c r="A251" s="28">
        <v>2019</v>
      </c>
      <c r="B251" s="6" t="s">
        <v>3</v>
      </c>
      <c r="C251" s="48" t="s">
        <v>8</v>
      </c>
      <c r="D251" s="51" t="s">
        <v>60</v>
      </c>
      <c r="E251" s="76">
        <v>3.5</v>
      </c>
    </row>
    <row r="252" spans="1:8" ht="15.75" x14ac:dyDescent="0.2">
      <c r="A252" s="28">
        <v>2019</v>
      </c>
      <c r="B252" s="6" t="s">
        <v>3</v>
      </c>
      <c r="C252" s="49" t="s">
        <v>9</v>
      </c>
      <c r="D252" s="51" t="s">
        <v>59</v>
      </c>
      <c r="E252" s="77">
        <v>6.6</v>
      </c>
      <c r="F252" s="54">
        <f t="shared" si="3"/>
        <v>2.9999999999999996</v>
      </c>
    </row>
    <row r="253" spans="1:8" ht="15.75" x14ac:dyDescent="0.2">
      <c r="A253" s="28">
        <v>2019</v>
      </c>
      <c r="B253" s="6" t="s">
        <v>3</v>
      </c>
      <c r="C253" s="49" t="s">
        <v>9</v>
      </c>
      <c r="D253" s="51" t="s">
        <v>60</v>
      </c>
      <c r="E253" s="78">
        <v>2.2000000000000002</v>
      </c>
    </row>
    <row r="254" spans="1:8" ht="15.75" x14ac:dyDescent="0.2">
      <c r="A254" s="28">
        <v>2019</v>
      </c>
      <c r="B254" s="6" t="s">
        <v>3</v>
      </c>
      <c r="C254" s="48" t="s">
        <v>10</v>
      </c>
      <c r="D254" s="51" t="s">
        <v>59</v>
      </c>
      <c r="E254" s="75">
        <v>521.79999999999995</v>
      </c>
      <c r="F254" s="54">
        <f t="shared" si="3"/>
        <v>44.220338983050844</v>
      </c>
    </row>
    <row r="255" spans="1:8" ht="15.75" x14ac:dyDescent="0.2">
      <c r="A255" s="28">
        <v>2019</v>
      </c>
      <c r="B255" s="6" t="s">
        <v>3</v>
      </c>
      <c r="C255" s="48" t="s">
        <v>10</v>
      </c>
      <c r="D255" s="51" t="s">
        <v>60</v>
      </c>
      <c r="E255" s="76">
        <v>11.8</v>
      </c>
    </row>
    <row r="256" spans="1:8" ht="15.75" x14ac:dyDescent="0.2">
      <c r="A256" s="28">
        <v>2019</v>
      </c>
      <c r="B256" s="6" t="s">
        <v>15</v>
      </c>
      <c r="C256" s="48" t="s">
        <v>58</v>
      </c>
      <c r="D256" s="51" t="s">
        <v>59</v>
      </c>
      <c r="E256" s="75">
        <v>277.39999999999998</v>
      </c>
      <c r="F256" s="54">
        <f t="shared" si="3"/>
        <v>9.5326460481099637</v>
      </c>
    </row>
    <row r="257" spans="1:8" ht="15.75" x14ac:dyDescent="0.2">
      <c r="A257" s="28">
        <v>2019</v>
      </c>
      <c r="B257" s="6" t="s">
        <v>15</v>
      </c>
      <c r="C257" s="48" t="s">
        <v>58</v>
      </c>
      <c r="D257" s="51" t="s">
        <v>60</v>
      </c>
      <c r="E257" s="76">
        <v>29.1</v>
      </c>
    </row>
    <row r="258" spans="1:8" ht="15.75" x14ac:dyDescent="0.2">
      <c r="A258" s="28">
        <v>2019</v>
      </c>
      <c r="B258" s="6" t="s">
        <v>15</v>
      </c>
      <c r="C258" s="49" t="s">
        <v>5</v>
      </c>
      <c r="D258" s="51" t="s">
        <v>59</v>
      </c>
      <c r="E258" s="77">
        <v>504.2</v>
      </c>
      <c r="F258" s="54">
        <f t="shared" si="3"/>
        <v>17.816254416961129</v>
      </c>
    </row>
    <row r="259" spans="1:8" ht="15.75" x14ac:dyDescent="0.2">
      <c r="A259" s="28">
        <v>2019</v>
      </c>
      <c r="B259" s="6" t="s">
        <v>15</v>
      </c>
      <c r="C259" s="49" t="s">
        <v>5</v>
      </c>
      <c r="D259" s="51" t="s">
        <v>60</v>
      </c>
      <c r="E259" s="78">
        <v>28.3</v>
      </c>
    </row>
    <row r="260" spans="1:8" ht="15.75" x14ac:dyDescent="0.2">
      <c r="A260" s="28">
        <v>2019</v>
      </c>
      <c r="B260" s="6" t="s">
        <v>15</v>
      </c>
      <c r="C260" s="48" t="s">
        <v>6</v>
      </c>
      <c r="D260" s="51" t="s">
        <v>59</v>
      </c>
      <c r="E260" s="75">
        <v>781.6</v>
      </c>
      <c r="F260" s="54">
        <f t="shared" ref="F260:F322" si="4">E260/E261</f>
        <v>23.975460122699385</v>
      </c>
    </row>
    <row r="261" spans="1:8" ht="15.75" x14ac:dyDescent="0.2">
      <c r="A261" s="28">
        <v>2019</v>
      </c>
      <c r="B261" s="6" t="s">
        <v>15</v>
      </c>
      <c r="C261" s="48" t="s">
        <v>6</v>
      </c>
      <c r="D261" s="51" t="s">
        <v>60</v>
      </c>
      <c r="E261" s="76">
        <v>32.6</v>
      </c>
    </row>
    <row r="262" spans="1:8" ht="15.75" x14ac:dyDescent="0.2">
      <c r="A262" s="28">
        <v>2019</v>
      </c>
      <c r="B262" s="6" t="s">
        <v>15</v>
      </c>
      <c r="C262" s="49" t="s">
        <v>7</v>
      </c>
      <c r="D262" s="51" t="s">
        <v>59</v>
      </c>
      <c r="E262" s="77">
        <v>71.900000000000006</v>
      </c>
      <c r="F262" s="54">
        <f t="shared" si="4"/>
        <v>55.307692307692314</v>
      </c>
      <c r="H262" s="50" t="s">
        <v>77</v>
      </c>
    </row>
    <row r="263" spans="1:8" ht="15.75" x14ac:dyDescent="0.2">
      <c r="A263" s="28">
        <v>2019</v>
      </c>
      <c r="B263" s="6" t="s">
        <v>15</v>
      </c>
      <c r="C263" s="49" t="s">
        <v>7</v>
      </c>
      <c r="D263" s="51" t="s">
        <v>60</v>
      </c>
      <c r="E263" s="78">
        <v>1.3</v>
      </c>
    </row>
    <row r="264" spans="1:8" ht="15.75" x14ac:dyDescent="0.2">
      <c r="A264" s="28">
        <v>2019</v>
      </c>
      <c r="B264" s="6" t="s">
        <v>15</v>
      </c>
      <c r="C264" s="48" t="s">
        <v>8</v>
      </c>
      <c r="D264" s="51" t="s">
        <v>59</v>
      </c>
      <c r="E264" s="75">
        <v>92.9</v>
      </c>
      <c r="F264" s="54">
        <f t="shared" si="4"/>
        <v>26.542857142857144</v>
      </c>
    </row>
    <row r="265" spans="1:8" ht="15.75" x14ac:dyDescent="0.2">
      <c r="A265" s="28">
        <v>2019</v>
      </c>
      <c r="B265" s="6" t="s">
        <v>15</v>
      </c>
      <c r="C265" s="48" t="s">
        <v>8</v>
      </c>
      <c r="D265" s="51" t="s">
        <v>60</v>
      </c>
      <c r="E265" s="76">
        <v>3.5</v>
      </c>
    </row>
    <row r="266" spans="1:8" ht="15.75" x14ac:dyDescent="0.2">
      <c r="A266" s="28">
        <v>2019</v>
      </c>
      <c r="B266" s="6" t="s">
        <v>15</v>
      </c>
      <c r="C266" s="49" t="s">
        <v>9</v>
      </c>
      <c r="D266" s="51" t="s">
        <v>59</v>
      </c>
      <c r="E266" s="77">
        <v>6.3</v>
      </c>
      <c r="F266" s="54">
        <f t="shared" si="4"/>
        <v>3</v>
      </c>
    </row>
    <row r="267" spans="1:8" ht="15.75" x14ac:dyDescent="0.2">
      <c r="A267" s="28">
        <v>2019</v>
      </c>
      <c r="B267" s="6" t="s">
        <v>15</v>
      </c>
      <c r="C267" s="49" t="s">
        <v>9</v>
      </c>
      <c r="D267" s="51" t="s">
        <v>60</v>
      </c>
      <c r="E267" s="78">
        <v>2.1</v>
      </c>
    </row>
    <row r="268" spans="1:8" ht="15.75" x14ac:dyDescent="0.2">
      <c r="A268" s="28">
        <v>2019</v>
      </c>
      <c r="B268" s="6" t="s">
        <v>15</v>
      </c>
      <c r="C268" s="48" t="s">
        <v>10</v>
      </c>
      <c r="D268" s="51" t="s">
        <v>59</v>
      </c>
      <c r="E268" s="75">
        <v>528.4</v>
      </c>
      <c r="F268" s="54">
        <f t="shared" si="4"/>
        <v>44.779661016949149</v>
      </c>
    </row>
    <row r="269" spans="1:8" ht="15.75" x14ac:dyDescent="0.2">
      <c r="A269" s="28">
        <v>2019</v>
      </c>
      <c r="B269" s="6" t="s">
        <v>15</v>
      </c>
      <c r="C269" s="48" t="s">
        <v>10</v>
      </c>
      <c r="D269" s="51" t="s">
        <v>60</v>
      </c>
      <c r="E269" s="76">
        <v>11.8</v>
      </c>
    </row>
    <row r="270" spans="1:8" ht="15.75" x14ac:dyDescent="0.2">
      <c r="A270" s="28">
        <v>2019</v>
      </c>
      <c r="B270" s="6" t="s">
        <v>16</v>
      </c>
      <c r="C270" s="48" t="s">
        <v>58</v>
      </c>
      <c r="D270" s="51" t="s">
        <v>59</v>
      </c>
      <c r="E270" s="75">
        <v>280.7</v>
      </c>
      <c r="F270" s="54">
        <f t="shared" si="4"/>
        <v>9.5152542372881346</v>
      </c>
    </row>
    <row r="271" spans="1:8" ht="15.75" x14ac:dyDescent="0.2">
      <c r="A271" s="28">
        <v>2019</v>
      </c>
      <c r="B271" s="6" t="s">
        <v>16</v>
      </c>
      <c r="C271" s="48" t="s">
        <v>58</v>
      </c>
      <c r="D271" s="51" t="s">
        <v>60</v>
      </c>
      <c r="E271" s="76">
        <v>29.5</v>
      </c>
    </row>
    <row r="272" spans="1:8" ht="15.75" x14ac:dyDescent="0.2">
      <c r="A272" s="28">
        <v>2019</v>
      </c>
      <c r="B272" s="6" t="s">
        <v>16</v>
      </c>
      <c r="C272" s="49" t="s">
        <v>5</v>
      </c>
      <c r="D272" s="51" t="s">
        <v>59</v>
      </c>
      <c r="E272" s="77">
        <v>516</v>
      </c>
      <c r="F272" s="54">
        <f t="shared" si="4"/>
        <v>17.854671280276818</v>
      </c>
    </row>
    <row r="273" spans="1:8" ht="15.75" x14ac:dyDescent="0.2">
      <c r="A273" s="28">
        <v>2019</v>
      </c>
      <c r="B273" s="6" t="s">
        <v>16</v>
      </c>
      <c r="C273" s="49" t="s">
        <v>5</v>
      </c>
      <c r="D273" s="51" t="s">
        <v>60</v>
      </c>
      <c r="E273" s="78">
        <v>28.9</v>
      </c>
    </row>
    <row r="274" spans="1:8" ht="15.75" x14ac:dyDescent="0.2">
      <c r="A274" s="28">
        <v>2019</v>
      </c>
      <c r="B274" s="6" t="s">
        <v>16</v>
      </c>
      <c r="C274" s="48" t="s">
        <v>6</v>
      </c>
      <c r="D274" s="51" t="s">
        <v>59</v>
      </c>
      <c r="E274" s="75">
        <v>796.7</v>
      </c>
      <c r="F274" s="54">
        <f t="shared" si="4"/>
        <v>23.996987951807228</v>
      </c>
    </row>
    <row r="275" spans="1:8" ht="15.75" x14ac:dyDescent="0.2">
      <c r="A275" s="28">
        <v>2019</v>
      </c>
      <c r="B275" s="6" t="s">
        <v>16</v>
      </c>
      <c r="C275" s="48" t="s">
        <v>6</v>
      </c>
      <c r="D275" s="51" t="s">
        <v>60</v>
      </c>
      <c r="E275" s="76">
        <v>33.200000000000003</v>
      </c>
    </row>
    <row r="276" spans="1:8" ht="15.75" x14ac:dyDescent="0.2">
      <c r="A276" s="28">
        <v>2019</v>
      </c>
      <c r="B276" s="6" t="s">
        <v>16</v>
      </c>
      <c r="C276" s="49" t="s">
        <v>7</v>
      </c>
      <c r="D276" s="51" t="s">
        <v>59</v>
      </c>
      <c r="E276" s="77">
        <v>75.2</v>
      </c>
      <c r="F276" s="54">
        <f t="shared" si="4"/>
        <v>53.714285714285722</v>
      </c>
      <c r="H276" s="50" t="s">
        <v>77</v>
      </c>
    </row>
    <row r="277" spans="1:8" ht="15.75" x14ac:dyDescent="0.2">
      <c r="A277" s="28">
        <v>2019</v>
      </c>
      <c r="B277" s="6" t="s">
        <v>16</v>
      </c>
      <c r="C277" s="49" t="s">
        <v>7</v>
      </c>
      <c r="D277" s="51" t="s">
        <v>60</v>
      </c>
      <c r="E277" s="78">
        <v>1.4</v>
      </c>
    </row>
    <row r="278" spans="1:8" ht="15.75" x14ac:dyDescent="0.2">
      <c r="A278" s="28">
        <v>2019</v>
      </c>
      <c r="B278" s="6" t="s">
        <v>16</v>
      </c>
      <c r="C278" s="48" t="s">
        <v>8</v>
      </c>
      <c r="D278" s="51" t="s">
        <v>59</v>
      </c>
      <c r="E278" s="75">
        <v>96.1</v>
      </c>
      <c r="F278" s="54">
        <f t="shared" si="4"/>
        <v>26.694444444444443</v>
      </c>
    </row>
    <row r="279" spans="1:8" ht="15.75" x14ac:dyDescent="0.2">
      <c r="A279" s="28">
        <v>2019</v>
      </c>
      <c r="B279" s="6" t="s">
        <v>16</v>
      </c>
      <c r="C279" s="48" t="s">
        <v>8</v>
      </c>
      <c r="D279" s="51" t="s">
        <v>60</v>
      </c>
      <c r="E279" s="76">
        <v>3.6</v>
      </c>
    </row>
    <row r="280" spans="1:8" ht="15.75" x14ac:dyDescent="0.2">
      <c r="A280" s="28">
        <v>2019</v>
      </c>
      <c r="B280" s="6" t="s">
        <v>16</v>
      </c>
      <c r="C280" s="49" t="s">
        <v>9</v>
      </c>
      <c r="D280" s="51" t="s">
        <v>59</v>
      </c>
      <c r="E280" s="77">
        <v>6.1</v>
      </c>
      <c r="F280" s="54">
        <f t="shared" si="4"/>
        <v>3.05</v>
      </c>
    </row>
    <row r="281" spans="1:8" ht="15.75" x14ac:dyDescent="0.2">
      <c r="A281" s="28">
        <v>2019</v>
      </c>
      <c r="B281" s="6" t="s">
        <v>16</v>
      </c>
      <c r="C281" s="49" t="s">
        <v>9</v>
      </c>
      <c r="D281" s="51" t="s">
        <v>60</v>
      </c>
      <c r="E281" s="78">
        <v>2</v>
      </c>
    </row>
    <row r="282" spans="1:8" ht="15.75" x14ac:dyDescent="0.2">
      <c r="A282" s="28">
        <v>2019</v>
      </c>
      <c r="B282" s="6" t="s">
        <v>16</v>
      </c>
      <c r="C282" s="48" t="s">
        <v>10</v>
      </c>
      <c r="D282" s="51" t="s">
        <v>59</v>
      </c>
      <c r="E282" s="75">
        <v>536.1</v>
      </c>
      <c r="F282" s="54">
        <f t="shared" si="4"/>
        <v>45.820512820512825</v>
      </c>
    </row>
    <row r="283" spans="1:8" ht="15.75" x14ac:dyDescent="0.2">
      <c r="A283" s="28">
        <v>2019</v>
      </c>
      <c r="B283" s="6" t="s">
        <v>16</v>
      </c>
      <c r="C283" s="48" t="s">
        <v>10</v>
      </c>
      <c r="D283" s="51" t="s">
        <v>60</v>
      </c>
      <c r="E283" s="76">
        <v>11.7</v>
      </c>
    </row>
    <row r="284" spans="1:8" ht="15.75" x14ac:dyDescent="0.2">
      <c r="A284" s="28">
        <v>2020</v>
      </c>
      <c r="B284" s="6" t="s">
        <v>18</v>
      </c>
      <c r="C284" s="48" t="s">
        <v>58</v>
      </c>
      <c r="D284" s="51" t="s">
        <v>59</v>
      </c>
      <c r="E284" s="75">
        <v>279.60000000000002</v>
      </c>
      <c r="F284" s="54">
        <f t="shared" si="4"/>
        <v>9.4459459459459456</v>
      </c>
    </row>
    <row r="285" spans="1:8" ht="15.75" x14ac:dyDescent="0.2">
      <c r="A285" s="28">
        <v>2020</v>
      </c>
      <c r="B285" s="6" t="s">
        <v>18</v>
      </c>
      <c r="C285" s="48" t="s">
        <v>58</v>
      </c>
      <c r="D285" s="51" t="s">
        <v>60</v>
      </c>
      <c r="E285" s="76">
        <v>29.6</v>
      </c>
    </row>
    <row r="286" spans="1:8" ht="15.75" x14ac:dyDescent="0.2">
      <c r="A286" s="28">
        <v>2020</v>
      </c>
      <c r="B286" s="6" t="s">
        <v>18</v>
      </c>
      <c r="C286" s="49" t="s">
        <v>5</v>
      </c>
      <c r="D286" s="51" t="s">
        <v>59</v>
      </c>
      <c r="E286" s="77">
        <v>516.29999999999995</v>
      </c>
      <c r="F286" s="54">
        <f t="shared" si="4"/>
        <v>17.865051903114185</v>
      </c>
    </row>
    <row r="287" spans="1:8" ht="15.75" x14ac:dyDescent="0.2">
      <c r="A287" s="28">
        <v>2020</v>
      </c>
      <c r="B287" s="6" t="s">
        <v>18</v>
      </c>
      <c r="C287" s="49" t="s">
        <v>5</v>
      </c>
      <c r="D287" s="51" t="s">
        <v>60</v>
      </c>
      <c r="E287" s="78">
        <v>28.9</v>
      </c>
    </row>
    <row r="288" spans="1:8" ht="15.75" x14ac:dyDescent="0.2">
      <c r="A288" s="28">
        <v>2020</v>
      </c>
      <c r="B288" s="6" t="s">
        <v>18</v>
      </c>
      <c r="C288" s="48" t="s">
        <v>6</v>
      </c>
      <c r="D288" s="51" t="s">
        <v>59</v>
      </c>
      <c r="E288" s="75">
        <v>795.8</v>
      </c>
      <c r="F288" s="54">
        <f t="shared" si="4"/>
        <v>23.969879518072286</v>
      </c>
    </row>
    <row r="289" spans="1:8" ht="15.75" x14ac:dyDescent="0.2">
      <c r="A289" s="28">
        <v>2020</v>
      </c>
      <c r="B289" s="6" t="s">
        <v>18</v>
      </c>
      <c r="C289" s="48" t="s">
        <v>6</v>
      </c>
      <c r="D289" s="51" t="s">
        <v>60</v>
      </c>
      <c r="E289" s="76">
        <v>33.200000000000003</v>
      </c>
    </row>
    <row r="290" spans="1:8" ht="15.75" x14ac:dyDescent="0.2">
      <c r="A290" s="28">
        <v>2020</v>
      </c>
      <c r="B290" s="6" t="s">
        <v>18</v>
      </c>
      <c r="C290" s="49" t="s">
        <v>7</v>
      </c>
      <c r="D290" s="51" t="s">
        <v>59</v>
      </c>
      <c r="E290" s="77">
        <v>75.3</v>
      </c>
      <c r="F290" s="54">
        <f t="shared" si="4"/>
        <v>53.785714285714285</v>
      </c>
      <c r="H290" s="50" t="s">
        <v>77</v>
      </c>
    </row>
    <row r="291" spans="1:8" ht="15.75" x14ac:dyDescent="0.2">
      <c r="A291" s="28">
        <v>2020</v>
      </c>
      <c r="B291" s="6" t="s">
        <v>18</v>
      </c>
      <c r="C291" s="49" t="s">
        <v>7</v>
      </c>
      <c r="D291" s="51" t="s">
        <v>60</v>
      </c>
      <c r="E291" s="78">
        <v>1.4</v>
      </c>
    </row>
    <row r="292" spans="1:8" ht="15.75" x14ac:dyDescent="0.2">
      <c r="A292" s="28">
        <v>2020</v>
      </c>
      <c r="B292" s="6" t="s">
        <v>18</v>
      </c>
      <c r="C292" s="48" t="s">
        <v>8</v>
      </c>
      <c r="D292" s="51" t="s">
        <v>59</v>
      </c>
      <c r="E292" s="75">
        <v>95.6</v>
      </c>
      <c r="F292" s="54">
        <f t="shared" si="4"/>
        <v>26.555555555555554</v>
      </c>
    </row>
    <row r="293" spans="1:8" ht="15.75" x14ac:dyDescent="0.2">
      <c r="A293" s="28">
        <v>2020</v>
      </c>
      <c r="B293" s="6" t="s">
        <v>18</v>
      </c>
      <c r="C293" s="48" t="s">
        <v>8</v>
      </c>
      <c r="D293" s="51" t="s">
        <v>60</v>
      </c>
      <c r="E293" s="76">
        <v>3.6</v>
      </c>
    </row>
    <row r="294" spans="1:8" ht="15.75" x14ac:dyDescent="0.2">
      <c r="A294" s="28">
        <v>2020</v>
      </c>
      <c r="B294" s="6" t="s">
        <v>18</v>
      </c>
      <c r="C294" s="49" t="s">
        <v>9</v>
      </c>
      <c r="D294" s="51" t="s">
        <v>59</v>
      </c>
      <c r="E294" s="77">
        <v>5.9</v>
      </c>
      <c r="F294" s="54">
        <f t="shared" si="4"/>
        <v>3.1052631578947372</v>
      </c>
    </row>
    <row r="295" spans="1:8" ht="15.75" x14ac:dyDescent="0.2">
      <c r="A295" s="28">
        <v>2020</v>
      </c>
      <c r="B295" s="6" t="s">
        <v>18</v>
      </c>
      <c r="C295" s="49" t="s">
        <v>9</v>
      </c>
      <c r="D295" s="51" t="s">
        <v>60</v>
      </c>
      <c r="E295" s="78">
        <v>1.9</v>
      </c>
    </row>
    <row r="296" spans="1:8" ht="15.75" x14ac:dyDescent="0.2">
      <c r="A296" s="28">
        <v>2020</v>
      </c>
      <c r="B296" s="6" t="s">
        <v>18</v>
      </c>
      <c r="C296" s="48" t="s">
        <v>10</v>
      </c>
      <c r="D296" s="51" t="s">
        <v>59</v>
      </c>
      <c r="E296" s="75">
        <v>542.4</v>
      </c>
      <c r="F296" s="54">
        <f t="shared" si="4"/>
        <v>46.358974358974358</v>
      </c>
    </row>
    <row r="297" spans="1:8" ht="15.75" x14ac:dyDescent="0.2">
      <c r="A297" s="28">
        <v>2020</v>
      </c>
      <c r="B297" s="6" t="s">
        <v>18</v>
      </c>
      <c r="C297" s="48" t="s">
        <v>10</v>
      </c>
      <c r="D297" s="51" t="s">
        <v>60</v>
      </c>
      <c r="E297" s="76">
        <v>11.7</v>
      </c>
    </row>
    <row r="298" spans="1:8" ht="15.75" x14ac:dyDescent="0.2">
      <c r="A298" s="28">
        <v>2020</v>
      </c>
      <c r="B298" s="6" t="s">
        <v>3</v>
      </c>
      <c r="C298" s="48" t="s">
        <v>58</v>
      </c>
      <c r="D298" s="51" t="s">
        <v>59</v>
      </c>
      <c r="E298" s="75">
        <v>282.89999999999998</v>
      </c>
      <c r="F298" s="54">
        <f t="shared" si="4"/>
        <v>9.6224489795918373</v>
      </c>
    </row>
    <row r="299" spans="1:8" ht="15.75" x14ac:dyDescent="0.2">
      <c r="A299" s="28">
        <v>2020</v>
      </c>
      <c r="B299" s="6" t="s">
        <v>3</v>
      </c>
      <c r="C299" s="48" t="s">
        <v>58</v>
      </c>
      <c r="D299" s="51" t="s">
        <v>60</v>
      </c>
      <c r="E299" s="76">
        <v>29.4</v>
      </c>
    </row>
    <row r="300" spans="1:8" ht="15.75" x14ac:dyDescent="0.2">
      <c r="A300" s="28">
        <v>2020</v>
      </c>
      <c r="B300" s="6" t="s">
        <v>3</v>
      </c>
      <c r="C300" s="49" t="s">
        <v>5</v>
      </c>
      <c r="D300" s="51" t="s">
        <v>59</v>
      </c>
      <c r="E300" s="77">
        <v>528.5</v>
      </c>
      <c r="F300" s="54">
        <f t="shared" si="4"/>
        <v>18.350694444444443</v>
      </c>
    </row>
    <row r="301" spans="1:8" ht="15.75" x14ac:dyDescent="0.2">
      <c r="A301" s="28">
        <v>2020</v>
      </c>
      <c r="B301" s="6" t="s">
        <v>3</v>
      </c>
      <c r="C301" s="49" t="s">
        <v>5</v>
      </c>
      <c r="D301" s="51" t="s">
        <v>60</v>
      </c>
      <c r="E301" s="78">
        <v>28.8</v>
      </c>
    </row>
    <row r="302" spans="1:8" ht="15.75" x14ac:dyDescent="0.2">
      <c r="A302" s="28">
        <v>2020</v>
      </c>
      <c r="B302" s="6" t="s">
        <v>3</v>
      </c>
      <c r="C302" s="48" t="s">
        <v>6</v>
      </c>
      <c r="D302" s="51" t="s">
        <v>59</v>
      </c>
      <c r="E302" s="75">
        <v>811.4</v>
      </c>
      <c r="F302" s="54">
        <f t="shared" si="4"/>
        <v>24.587878787878786</v>
      </c>
    </row>
    <row r="303" spans="1:8" ht="15.75" x14ac:dyDescent="0.2">
      <c r="A303" s="28">
        <v>2020</v>
      </c>
      <c r="B303" s="6" t="s">
        <v>3</v>
      </c>
      <c r="C303" s="48" t="s">
        <v>6</v>
      </c>
      <c r="D303" s="51" t="s">
        <v>60</v>
      </c>
      <c r="E303" s="76">
        <v>33</v>
      </c>
    </row>
    <row r="304" spans="1:8" ht="15.75" x14ac:dyDescent="0.2">
      <c r="A304" s="28">
        <v>2020</v>
      </c>
      <c r="B304" s="6" t="s">
        <v>3</v>
      </c>
      <c r="C304" s="49" t="s">
        <v>7</v>
      </c>
      <c r="D304" s="51" t="s">
        <v>59</v>
      </c>
      <c r="E304" s="77">
        <v>78.8</v>
      </c>
      <c r="F304" s="54">
        <f t="shared" si="4"/>
        <v>56.285714285714285</v>
      </c>
      <c r="H304" s="50" t="s">
        <v>77</v>
      </c>
    </row>
    <row r="305" spans="1:8" ht="15.75" x14ac:dyDescent="0.2">
      <c r="A305" s="28">
        <v>2020</v>
      </c>
      <c r="B305" s="6" t="s">
        <v>3</v>
      </c>
      <c r="C305" s="49" t="s">
        <v>7</v>
      </c>
      <c r="D305" s="51" t="s">
        <v>60</v>
      </c>
      <c r="E305" s="78">
        <v>1.4</v>
      </c>
    </row>
    <row r="306" spans="1:8" ht="15.75" x14ac:dyDescent="0.2">
      <c r="A306" s="28">
        <v>2020</v>
      </c>
      <c r="B306" s="6" t="s">
        <v>3</v>
      </c>
      <c r="C306" s="48" t="s">
        <v>8</v>
      </c>
      <c r="D306" s="51" t="s">
        <v>59</v>
      </c>
      <c r="E306" s="75">
        <v>99.4</v>
      </c>
      <c r="F306" s="54">
        <f t="shared" si="4"/>
        <v>28.400000000000002</v>
      </c>
    </row>
    <row r="307" spans="1:8" ht="15.75" x14ac:dyDescent="0.2">
      <c r="A307" s="28">
        <v>2020</v>
      </c>
      <c r="B307" s="6" t="s">
        <v>3</v>
      </c>
      <c r="C307" s="48" t="s">
        <v>8</v>
      </c>
      <c r="D307" s="51" t="s">
        <v>60</v>
      </c>
      <c r="E307" s="75">
        <v>3.5</v>
      </c>
    </row>
    <row r="308" spans="1:8" ht="15.75" x14ac:dyDescent="0.2">
      <c r="A308" s="28">
        <v>2020</v>
      </c>
      <c r="B308" s="6" t="s">
        <v>3</v>
      </c>
      <c r="C308" s="49" t="s">
        <v>9</v>
      </c>
      <c r="D308" s="51" t="s">
        <v>59</v>
      </c>
      <c r="E308" s="77">
        <v>5.6</v>
      </c>
      <c r="F308" s="54">
        <f t="shared" si="4"/>
        <v>2.9473684210526314</v>
      </c>
    </row>
    <row r="309" spans="1:8" ht="15.75" x14ac:dyDescent="0.2">
      <c r="A309" s="28">
        <v>2020</v>
      </c>
      <c r="B309" s="6" t="s">
        <v>3</v>
      </c>
      <c r="C309" s="49" t="s">
        <v>9</v>
      </c>
      <c r="D309" s="51" t="s">
        <v>60</v>
      </c>
      <c r="E309" s="78">
        <v>1.9</v>
      </c>
    </row>
    <row r="310" spans="1:8" ht="15.75" x14ac:dyDescent="0.2">
      <c r="A310" s="28">
        <v>2020</v>
      </c>
      <c r="B310" s="6" t="s">
        <v>3</v>
      </c>
      <c r="C310" s="48" t="s">
        <v>10</v>
      </c>
      <c r="D310" s="51" t="s">
        <v>59</v>
      </c>
      <c r="E310" s="75">
        <v>547.70000000000005</v>
      </c>
      <c r="F310" s="54">
        <f t="shared" si="4"/>
        <v>47.215517241379317</v>
      </c>
    </row>
    <row r="311" spans="1:8" ht="15.75" x14ac:dyDescent="0.2">
      <c r="A311" s="28">
        <v>2020</v>
      </c>
      <c r="B311" s="6" t="s">
        <v>3</v>
      </c>
      <c r="C311" s="48" t="s">
        <v>10</v>
      </c>
      <c r="D311" s="51" t="s">
        <v>60</v>
      </c>
      <c r="E311" s="76">
        <v>11.6</v>
      </c>
    </row>
    <row r="312" spans="1:8" ht="15.75" x14ac:dyDescent="0.2">
      <c r="A312" s="28">
        <v>2020</v>
      </c>
      <c r="B312" s="6" t="s">
        <v>15</v>
      </c>
      <c r="C312" s="48" t="s">
        <v>58</v>
      </c>
      <c r="D312" s="51" t="s">
        <v>59</v>
      </c>
      <c r="E312" s="79">
        <v>282.3</v>
      </c>
      <c r="F312" s="54">
        <f t="shared" si="4"/>
        <v>9.7010309278350508</v>
      </c>
    </row>
    <row r="313" spans="1:8" ht="15.75" x14ac:dyDescent="0.2">
      <c r="A313" s="28">
        <v>2020</v>
      </c>
      <c r="B313" s="6" t="s">
        <v>15</v>
      </c>
      <c r="C313" s="48" t="s">
        <v>58</v>
      </c>
      <c r="D313" s="51" t="s">
        <v>60</v>
      </c>
      <c r="E313" s="79">
        <v>29.1</v>
      </c>
    </row>
    <row r="314" spans="1:8" ht="15.75" x14ac:dyDescent="0.2">
      <c r="A314" s="28">
        <v>2020</v>
      </c>
      <c r="B314" s="6" t="s">
        <v>15</v>
      </c>
      <c r="C314" s="49" t="s">
        <v>5</v>
      </c>
      <c r="D314" s="51" t="s">
        <v>59</v>
      </c>
      <c r="E314" s="80">
        <v>529.1</v>
      </c>
      <c r="F314" s="54">
        <f t="shared" si="4"/>
        <v>18.5</v>
      </c>
    </row>
    <row r="315" spans="1:8" ht="15.75" x14ac:dyDescent="0.2">
      <c r="A315" s="28">
        <v>2020</v>
      </c>
      <c r="B315" s="6" t="s">
        <v>15</v>
      </c>
      <c r="C315" s="49" t="s">
        <v>5</v>
      </c>
      <c r="D315" s="51" t="s">
        <v>60</v>
      </c>
      <c r="E315" s="80">
        <v>28.6</v>
      </c>
    </row>
    <row r="316" spans="1:8" ht="15.75" x14ac:dyDescent="0.2">
      <c r="A316" s="28">
        <v>2020</v>
      </c>
      <c r="B316" s="6" t="s">
        <v>15</v>
      </c>
      <c r="C316" s="48" t="s">
        <v>6</v>
      </c>
      <c r="D316" s="51" t="s">
        <v>59</v>
      </c>
      <c r="E316" s="79">
        <v>811.4</v>
      </c>
      <c r="F316" s="54">
        <f t="shared" si="4"/>
        <v>24.737804878048781</v>
      </c>
    </row>
    <row r="317" spans="1:8" ht="15.75" x14ac:dyDescent="0.2">
      <c r="A317" s="28">
        <v>2020</v>
      </c>
      <c r="B317" s="6" t="s">
        <v>15</v>
      </c>
      <c r="C317" s="48" t="s">
        <v>6</v>
      </c>
      <c r="D317" s="51" t="s">
        <v>60</v>
      </c>
      <c r="E317" s="79">
        <v>32.799999999999997</v>
      </c>
    </row>
    <row r="318" spans="1:8" ht="15.75" x14ac:dyDescent="0.2">
      <c r="A318" s="28">
        <v>2020</v>
      </c>
      <c r="B318" s="6" t="s">
        <v>15</v>
      </c>
      <c r="C318" s="49" t="s">
        <v>7</v>
      </c>
      <c r="D318" s="51" t="s">
        <v>59</v>
      </c>
      <c r="E318" s="80">
        <v>79.5</v>
      </c>
      <c r="F318" s="54">
        <f t="shared" si="4"/>
        <v>56.785714285714292</v>
      </c>
      <c r="H318" s="50" t="s">
        <v>77</v>
      </c>
    </row>
    <row r="319" spans="1:8" ht="15.75" x14ac:dyDescent="0.2">
      <c r="A319" s="28">
        <v>2020</v>
      </c>
      <c r="B319" s="6" t="s">
        <v>15</v>
      </c>
      <c r="C319" s="49" t="s">
        <v>7</v>
      </c>
      <c r="D319" s="51" t="s">
        <v>60</v>
      </c>
      <c r="E319" s="80">
        <v>1.4</v>
      </c>
    </row>
    <row r="320" spans="1:8" ht="15.75" x14ac:dyDescent="0.2">
      <c r="A320" s="28">
        <v>2020</v>
      </c>
      <c r="B320" s="6" t="s">
        <v>15</v>
      </c>
      <c r="C320" s="48" t="s">
        <v>8</v>
      </c>
      <c r="D320" s="51" t="s">
        <v>59</v>
      </c>
      <c r="E320" s="81">
        <v>98.3</v>
      </c>
      <c r="F320" s="54">
        <f t="shared" si="4"/>
        <v>28.085714285714285</v>
      </c>
    </row>
    <row r="321" spans="1:8" ht="15.75" x14ac:dyDescent="0.2">
      <c r="A321" s="28">
        <v>2020</v>
      </c>
      <c r="B321" s="6" t="s">
        <v>15</v>
      </c>
      <c r="C321" s="48" t="s">
        <v>8</v>
      </c>
      <c r="D321" s="51" t="s">
        <v>60</v>
      </c>
      <c r="E321" s="82">
        <v>3.5</v>
      </c>
    </row>
    <row r="322" spans="1:8" ht="15.75" x14ac:dyDescent="0.2">
      <c r="A322" s="28">
        <v>2020</v>
      </c>
      <c r="B322" s="6" t="s">
        <v>15</v>
      </c>
      <c r="C322" s="49" t="s">
        <v>9</v>
      </c>
      <c r="D322" s="51" t="s">
        <v>59</v>
      </c>
      <c r="E322" s="80">
        <v>5.4</v>
      </c>
      <c r="F322" s="54">
        <f t="shared" si="4"/>
        <v>3</v>
      </c>
    </row>
    <row r="323" spans="1:8" ht="15.75" x14ac:dyDescent="0.2">
      <c r="A323" s="28">
        <v>2020</v>
      </c>
      <c r="B323" s="6" t="s">
        <v>15</v>
      </c>
      <c r="C323" s="49" t="s">
        <v>9</v>
      </c>
      <c r="D323" s="51" t="s">
        <v>60</v>
      </c>
      <c r="E323" s="83">
        <v>1.8</v>
      </c>
    </row>
    <row r="324" spans="1:8" ht="15.75" x14ac:dyDescent="0.2">
      <c r="A324" s="28">
        <v>2020</v>
      </c>
      <c r="B324" s="6" t="s">
        <v>15</v>
      </c>
      <c r="C324" s="48" t="s">
        <v>10</v>
      </c>
      <c r="D324" s="51" t="s">
        <v>59</v>
      </c>
      <c r="E324" s="81">
        <v>550.20000000000005</v>
      </c>
      <c r="F324" s="54">
        <f t="shared" ref="F324:F386" si="5">E324/E325</f>
        <v>47.431034482758626</v>
      </c>
    </row>
    <row r="325" spans="1:8" ht="15.75" x14ac:dyDescent="0.2">
      <c r="A325" s="28">
        <v>2020</v>
      </c>
      <c r="B325" s="6" t="s">
        <v>15</v>
      </c>
      <c r="C325" s="48" t="s">
        <v>10</v>
      </c>
      <c r="D325" s="51" t="s">
        <v>60</v>
      </c>
      <c r="E325" s="84">
        <v>11.6</v>
      </c>
    </row>
    <row r="326" spans="1:8" ht="15.75" x14ac:dyDescent="0.2">
      <c r="A326" s="28">
        <v>2020</v>
      </c>
      <c r="B326" s="6" t="s">
        <v>16</v>
      </c>
      <c r="C326" s="48" t="s">
        <v>58</v>
      </c>
      <c r="D326" s="51" t="s">
        <v>59</v>
      </c>
      <c r="E326" s="85">
        <v>285.7</v>
      </c>
      <c r="F326" s="54">
        <f t="shared" si="5"/>
        <v>9.6520270270270263</v>
      </c>
    </row>
    <row r="327" spans="1:8" ht="15.75" x14ac:dyDescent="0.2">
      <c r="A327" s="28">
        <v>2020</v>
      </c>
      <c r="B327" s="6" t="s">
        <v>16</v>
      </c>
      <c r="C327" s="48" t="s">
        <v>58</v>
      </c>
      <c r="D327" s="51" t="s">
        <v>60</v>
      </c>
      <c r="E327" s="85">
        <v>29.6</v>
      </c>
    </row>
    <row r="328" spans="1:8" ht="15.75" x14ac:dyDescent="0.2">
      <c r="A328" s="28">
        <v>2020</v>
      </c>
      <c r="B328" s="6" t="s">
        <v>16</v>
      </c>
      <c r="C328" s="49" t="s">
        <v>5</v>
      </c>
      <c r="D328" s="51" t="s">
        <v>59</v>
      </c>
      <c r="E328" s="86">
        <v>539.79999999999995</v>
      </c>
      <c r="F328" s="54">
        <f t="shared" si="5"/>
        <v>18.486301369863014</v>
      </c>
    </row>
    <row r="329" spans="1:8" ht="15.75" x14ac:dyDescent="0.2">
      <c r="A329" s="28">
        <v>2020</v>
      </c>
      <c r="B329" s="6" t="s">
        <v>16</v>
      </c>
      <c r="C329" s="49" t="s">
        <v>5</v>
      </c>
      <c r="D329" s="51" t="s">
        <v>60</v>
      </c>
      <c r="E329" s="86">
        <v>29.2</v>
      </c>
    </row>
    <row r="330" spans="1:8" ht="15.75" x14ac:dyDescent="0.2">
      <c r="A330" s="28">
        <v>2020</v>
      </c>
      <c r="B330" s="6" t="s">
        <v>16</v>
      </c>
      <c r="C330" s="48" t="s">
        <v>6</v>
      </c>
      <c r="D330" s="51" t="s">
        <v>59</v>
      </c>
      <c r="E330" s="85">
        <v>825.5</v>
      </c>
      <c r="F330" s="54">
        <f t="shared" si="5"/>
        <v>24.71556886227545</v>
      </c>
    </row>
    <row r="331" spans="1:8" ht="15.75" x14ac:dyDescent="0.2">
      <c r="A331" s="28">
        <v>2020</v>
      </c>
      <c r="B331" s="6" t="s">
        <v>16</v>
      </c>
      <c r="C331" s="48" t="s">
        <v>6</v>
      </c>
      <c r="D331" s="51" t="s">
        <v>60</v>
      </c>
      <c r="E331" s="85">
        <v>33.4</v>
      </c>
    </row>
    <row r="332" spans="1:8" ht="15.75" x14ac:dyDescent="0.2">
      <c r="A332" s="28">
        <v>2020</v>
      </c>
      <c r="B332" s="6" t="s">
        <v>16</v>
      </c>
      <c r="C332" s="49" t="s">
        <v>7</v>
      </c>
      <c r="D332" s="51" t="s">
        <v>59</v>
      </c>
      <c r="E332" s="86">
        <v>82.8</v>
      </c>
      <c r="F332" s="54">
        <f t="shared" si="5"/>
        <v>55.199999999999996</v>
      </c>
      <c r="H332" s="50" t="s">
        <v>77</v>
      </c>
    </row>
    <row r="333" spans="1:8" ht="15.75" x14ac:dyDescent="0.2">
      <c r="A333" s="28">
        <v>2020</v>
      </c>
      <c r="B333" s="6" t="s">
        <v>16</v>
      </c>
      <c r="C333" s="49" t="s">
        <v>7</v>
      </c>
      <c r="D333" s="51" t="s">
        <v>60</v>
      </c>
      <c r="E333" s="86">
        <v>1.5</v>
      </c>
    </row>
    <row r="334" spans="1:8" ht="15.75" x14ac:dyDescent="0.2">
      <c r="A334" s="28">
        <v>2020</v>
      </c>
      <c r="B334" s="6" t="s">
        <v>16</v>
      </c>
      <c r="C334" s="48" t="s">
        <v>8</v>
      </c>
      <c r="D334" s="51" t="s">
        <v>59</v>
      </c>
      <c r="E334" s="85">
        <v>100.8</v>
      </c>
      <c r="F334" s="54">
        <f t="shared" si="5"/>
        <v>28</v>
      </c>
    </row>
    <row r="335" spans="1:8" ht="15.75" x14ac:dyDescent="0.2">
      <c r="A335" s="28">
        <v>2020</v>
      </c>
      <c r="B335" s="6" t="s">
        <v>16</v>
      </c>
      <c r="C335" s="48" t="s">
        <v>8</v>
      </c>
      <c r="D335" s="51" t="s">
        <v>60</v>
      </c>
      <c r="E335" s="85">
        <v>3.6</v>
      </c>
    </row>
    <row r="336" spans="1:8" ht="15.75" x14ac:dyDescent="0.2">
      <c r="A336" s="28">
        <v>2020</v>
      </c>
      <c r="B336" s="6" t="s">
        <v>16</v>
      </c>
      <c r="C336" s="49" t="s">
        <v>9</v>
      </c>
      <c r="D336" s="51" t="s">
        <v>59</v>
      </c>
      <c r="E336" s="86">
        <v>5.2</v>
      </c>
      <c r="F336" s="54">
        <f t="shared" si="5"/>
        <v>3.0588235294117649</v>
      </c>
    </row>
    <row r="337" spans="1:8" ht="15.75" x14ac:dyDescent="0.2">
      <c r="A337" s="28">
        <v>2020</v>
      </c>
      <c r="B337" s="6" t="s">
        <v>16</v>
      </c>
      <c r="C337" s="49" t="s">
        <v>9</v>
      </c>
      <c r="D337" s="51" t="s">
        <v>60</v>
      </c>
      <c r="E337" s="86">
        <v>1.7</v>
      </c>
    </row>
    <row r="338" spans="1:8" ht="15.75" x14ac:dyDescent="0.2">
      <c r="A338" s="28">
        <v>2020</v>
      </c>
      <c r="B338" s="6" t="s">
        <v>16</v>
      </c>
      <c r="C338" s="48" t="s">
        <v>10</v>
      </c>
      <c r="D338" s="51" t="s">
        <v>59</v>
      </c>
      <c r="E338" s="85">
        <v>552.1</v>
      </c>
      <c r="F338" s="54">
        <f t="shared" si="5"/>
        <v>48.008695652173913</v>
      </c>
    </row>
    <row r="339" spans="1:8" ht="15.75" x14ac:dyDescent="0.2">
      <c r="A339" s="28">
        <v>2020</v>
      </c>
      <c r="B339" s="6" t="s">
        <v>16</v>
      </c>
      <c r="C339" s="48" t="s">
        <v>10</v>
      </c>
      <c r="D339" s="51" t="s">
        <v>60</v>
      </c>
      <c r="E339" s="85">
        <v>11.5</v>
      </c>
    </row>
    <row r="340" spans="1:8" ht="15.75" x14ac:dyDescent="0.2">
      <c r="A340" s="28">
        <v>2021</v>
      </c>
      <c r="B340" s="6" t="s">
        <v>18</v>
      </c>
      <c r="C340" s="48" t="s">
        <v>58</v>
      </c>
      <c r="D340" s="51" t="s">
        <v>59</v>
      </c>
      <c r="E340" s="85">
        <v>285.2</v>
      </c>
      <c r="F340" s="54">
        <f t="shared" si="5"/>
        <v>9.6351351351351351</v>
      </c>
    </row>
    <row r="341" spans="1:8" ht="15.75" x14ac:dyDescent="0.2">
      <c r="A341" s="28">
        <v>2021</v>
      </c>
      <c r="B341" s="6" t="s">
        <v>18</v>
      </c>
      <c r="C341" s="48" t="s">
        <v>58</v>
      </c>
      <c r="D341" s="51" t="s">
        <v>60</v>
      </c>
      <c r="E341" s="85">
        <v>29.6</v>
      </c>
    </row>
    <row r="342" spans="1:8" ht="15.75" x14ac:dyDescent="0.2">
      <c r="A342" s="28">
        <v>2021</v>
      </c>
      <c r="B342" s="6" t="s">
        <v>18</v>
      </c>
      <c r="C342" s="49" t="s">
        <v>5</v>
      </c>
      <c r="D342" s="51" t="s">
        <v>59</v>
      </c>
      <c r="E342" s="86">
        <v>539.4</v>
      </c>
      <c r="F342" s="54">
        <f t="shared" si="5"/>
        <v>18.409556313993171</v>
      </c>
    </row>
    <row r="343" spans="1:8" ht="15.75" x14ac:dyDescent="0.2">
      <c r="A343" s="28">
        <v>2021</v>
      </c>
      <c r="B343" s="6" t="s">
        <v>18</v>
      </c>
      <c r="C343" s="49" t="s">
        <v>5</v>
      </c>
      <c r="D343" s="51" t="s">
        <v>60</v>
      </c>
      <c r="E343" s="86">
        <v>29.3</v>
      </c>
    </row>
    <row r="344" spans="1:8" ht="15.75" x14ac:dyDescent="0.2">
      <c r="A344" s="28">
        <v>2021</v>
      </c>
      <c r="B344" s="6" t="s">
        <v>18</v>
      </c>
      <c r="C344" s="48" t="s">
        <v>6</v>
      </c>
      <c r="D344" s="51" t="s">
        <v>59</v>
      </c>
      <c r="E344" s="85">
        <v>824.6</v>
      </c>
      <c r="F344" s="54">
        <f t="shared" si="5"/>
        <v>24.61492537313433</v>
      </c>
    </row>
    <row r="345" spans="1:8" ht="15.75" x14ac:dyDescent="0.2">
      <c r="A345" s="28">
        <v>2021</v>
      </c>
      <c r="B345" s="6" t="s">
        <v>18</v>
      </c>
      <c r="C345" s="48" t="s">
        <v>6</v>
      </c>
      <c r="D345" s="51" t="s">
        <v>60</v>
      </c>
      <c r="E345" s="85">
        <v>33.5</v>
      </c>
    </row>
    <row r="346" spans="1:8" ht="15.75" x14ac:dyDescent="0.2">
      <c r="A346" s="28">
        <v>2021</v>
      </c>
      <c r="B346" s="6" t="s">
        <v>18</v>
      </c>
      <c r="C346" s="49" t="s">
        <v>7</v>
      </c>
      <c r="D346" s="51" t="s">
        <v>59</v>
      </c>
      <c r="E346" s="86">
        <v>82.7</v>
      </c>
      <c r="F346" s="54">
        <f t="shared" si="5"/>
        <v>55.133333333333333</v>
      </c>
      <c r="H346" s="50" t="s">
        <v>77</v>
      </c>
    </row>
    <row r="347" spans="1:8" ht="15.75" x14ac:dyDescent="0.2">
      <c r="A347" s="28">
        <v>2021</v>
      </c>
      <c r="B347" s="6" t="s">
        <v>18</v>
      </c>
      <c r="C347" s="49" t="s">
        <v>7</v>
      </c>
      <c r="D347" s="51" t="s">
        <v>60</v>
      </c>
      <c r="E347" s="86">
        <v>1.5</v>
      </c>
    </row>
    <row r="348" spans="1:8" ht="15.75" x14ac:dyDescent="0.2">
      <c r="A348" s="28">
        <v>2021</v>
      </c>
      <c r="B348" s="6" t="s">
        <v>18</v>
      </c>
      <c r="C348" s="48" t="s">
        <v>8</v>
      </c>
      <c r="D348" s="51" t="s">
        <v>59</v>
      </c>
      <c r="E348" s="85">
        <v>100.3</v>
      </c>
      <c r="F348" s="54">
        <f t="shared" si="5"/>
        <v>27.861111111111111</v>
      </c>
    </row>
    <row r="349" spans="1:8" ht="15.75" x14ac:dyDescent="0.2">
      <c r="A349" s="28">
        <v>2021</v>
      </c>
      <c r="B349" s="6" t="s">
        <v>18</v>
      </c>
      <c r="C349" s="48" t="s">
        <v>8</v>
      </c>
      <c r="D349" s="51" t="s">
        <v>60</v>
      </c>
      <c r="E349" s="85">
        <v>3.6</v>
      </c>
    </row>
    <row r="350" spans="1:8" ht="15.75" x14ac:dyDescent="0.2">
      <c r="A350" s="28">
        <v>2021</v>
      </c>
      <c r="B350" s="6" t="s">
        <v>18</v>
      </c>
      <c r="C350" s="49" t="s">
        <v>9</v>
      </c>
      <c r="D350" s="51" t="s">
        <v>59</v>
      </c>
      <c r="E350" s="86">
        <v>4.9000000000000004</v>
      </c>
      <c r="F350" s="54">
        <f t="shared" si="5"/>
        <v>2.882352941176471</v>
      </c>
    </row>
    <row r="351" spans="1:8" ht="15.75" x14ac:dyDescent="0.2">
      <c r="A351" s="28">
        <v>2021</v>
      </c>
      <c r="B351" s="6" t="s">
        <v>18</v>
      </c>
      <c r="C351" s="49" t="s">
        <v>9</v>
      </c>
      <c r="D351" s="51" t="s">
        <v>60</v>
      </c>
      <c r="E351" s="86">
        <v>1.7</v>
      </c>
    </row>
    <row r="352" spans="1:8" ht="15.75" x14ac:dyDescent="0.2">
      <c r="A352" s="28">
        <v>2021</v>
      </c>
      <c r="B352" s="6" t="s">
        <v>18</v>
      </c>
      <c r="C352" s="48" t="s">
        <v>10</v>
      </c>
      <c r="D352" s="51" t="s">
        <v>59</v>
      </c>
      <c r="E352" s="85">
        <v>552.6</v>
      </c>
      <c r="F352" s="54">
        <f t="shared" si="5"/>
        <v>48.052173913043482</v>
      </c>
    </row>
    <row r="353" spans="1:8" ht="15.75" x14ac:dyDescent="0.2">
      <c r="A353" s="28">
        <v>2021</v>
      </c>
      <c r="B353" s="6" t="s">
        <v>18</v>
      </c>
      <c r="C353" s="48" t="s">
        <v>10</v>
      </c>
      <c r="D353" s="51" t="s">
        <v>60</v>
      </c>
      <c r="E353" s="85">
        <v>11.5</v>
      </c>
    </row>
    <row r="354" spans="1:8" ht="15.75" x14ac:dyDescent="0.2">
      <c r="A354" s="28">
        <v>2021</v>
      </c>
      <c r="B354" s="6" t="s">
        <v>3</v>
      </c>
      <c r="C354" s="48" t="s">
        <v>58</v>
      </c>
      <c r="D354" s="51" t="s">
        <v>59</v>
      </c>
      <c r="E354" s="87">
        <v>289.8</v>
      </c>
      <c r="F354" s="54">
        <f t="shared" si="5"/>
        <v>9.7905405405405403</v>
      </c>
    </row>
    <row r="355" spans="1:8" ht="15.75" x14ac:dyDescent="0.2">
      <c r="A355" s="28">
        <v>2021</v>
      </c>
      <c r="B355" s="6" t="s">
        <v>3</v>
      </c>
      <c r="C355" s="48" t="s">
        <v>58</v>
      </c>
      <c r="D355" s="51" t="s">
        <v>60</v>
      </c>
      <c r="E355" s="87">
        <v>29.6</v>
      </c>
    </row>
    <row r="356" spans="1:8" ht="15.75" x14ac:dyDescent="0.2">
      <c r="A356" s="28">
        <v>2021</v>
      </c>
      <c r="B356" s="6" t="s">
        <v>3</v>
      </c>
      <c r="C356" s="49" t="s">
        <v>5</v>
      </c>
      <c r="D356" s="51" t="s">
        <v>59</v>
      </c>
      <c r="E356" s="88">
        <v>552.70000000000005</v>
      </c>
      <c r="F356" s="54">
        <f t="shared" si="5"/>
        <v>18.799319727891159</v>
      </c>
    </row>
    <row r="357" spans="1:8" ht="15.75" x14ac:dyDescent="0.2">
      <c r="A357" s="28">
        <v>2021</v>
      </c>
      <c r="B357" s="6" t="s">
        <v>3</v>
      </c>
      <c r="C357" s="49" t="s">
        <v>5</v>
      </c>
      <c r="D357" s="51" t="s">
        <v>60</v>
      </c>
      <c r="E357" s="88">
        <v>29.4</v>
      </c>
    </row>
    <row r="358" spans="1:8" ht="15.75" x14ac:dyDescent="0.2">
      <c r="A358" s="28">
        <v>2021</v>
      </c>
      <c r="B358" s="6" t="s">
        <v>3</v>
      </c>
      <c r="C358" s="48" t="s">
        <v>6</v>
      </c>
      <c r="D358" s="51" t="s">
        <v>59</v>
      </c>
      <c r="E358" s="87">
        <v>842.5</v>
      </c>
      <c r="F358" s="54">
        <f t="shared" si="5"/>
        <v>25.074404761904759</v>
      </c>
    </row>
    <row r="359" spans="1:8" ht="15.75" x14ac:dyDescent="0.2">
      <c r="A359" s="28">
        <v>2021</v>
      </c>
      <c r="B359" s="6" t="s">
        <v>3</v>
      </c>
      <c r="C359" s="48" t="s">
        <v>6</v>
      </c>
      <c r="D359" s="51" t="s">
        <v>60</v>
      </c>
      <c r="E359" s="87">
        <v>33.6</v>
      </c>
    </row>
    <row r="360" spans="1:8" ht="15.75" x14ac:dyDescent="0.2">
      <c r="A360" s="28">
        <v>2021</v>
      </c>
      <c r="B360" s="6" t="s">
        <v>3</v>
      </c>
      <c r="C360" s="49" t="s">
        <v>7</v>
      </c>
      <c r="D360" s="51" t="s">
        <v>59</v>
      </c>
      <c r="E360" s="86">
        <v>86.3</v>
      </c>
      <c r="F360" s="54">
        <f t="shared" si="5"/>
        <v>57.533333333333331</v>
      </c>
      <c r="H360" s="50" t="s">
        <v>77</v>
      </c>
    </row>
    <row r="361" spans="1:8" ht="15.75" x14ac:dyDescent="0.2">
      <c r="A361" s="28">
        <v>2021</v>
      </c>
      <c r="B361" s="6" t="s">
        <v>3</v>
      </c>
      <c r="C361" s="49" t="s">
        <v>7</v>
      </c>
      <c r="D361" s="51" t="s">
        <v>60</v>
      </c>
      <c r="E361" s="86">
        <v>1.5</v>
      </c>
    </row>
    <row r="362" spans="1:8" ht="15.75" x14ac:dyDescent="0.2">
      <c r="A362" s="28">
        <v>2021</v>
      </c>
      <c r="B362" s="6" t="s">
        <v>3</v>
      </c>
      <c r="C362" s="48" t="s">
        <v>8</v>
      </c>
      <c r="D362" s="51" t="s">
        <v>59</v>
      </c>
      <c r="E362" s="85">
        <v>103.6</v>
      </c>
      <c r="F362" s="54">
        <f t="shared" si="5"/>
        <v>28.777777777777775</v>
      </c>
    </row>
    <row r="363" spans="1:8" ht="15.75" x14ac:dyDescent="0.2">
      <c r="A363" s="28">
        <v>2021</v>
      </c>
      <c r="B363" s="6" t="s">
        <v>3</v>
      </c>
      <c r="C363" s="48" t="s">
        <v>8</v>
      </c>
      <c r="D363" s="51" t="s">
        <v>60</v>
      </c>
      <c r="E363" s="85">
        <v>3.6</v>
      </c>
    </row>
    <row r="364" spans="1:8" ht="15.75" x14ac:dyDescent="0.2">
      <c r="A364" s="28">
        <v>2021</v>
      </c>
      <c r="B364" s="6" t="s">
        <v>3</v>
      </c>
      <c r="C364" s="49" t="s">
        <v>9</v>
      </c>
      <c r="D364" s="51" t="s">
        <v>59</v>
      </c>
      <c r="E364" s="86">
        <v>4.7</v>
      </c>
      <c r="F364" s="54">
        <f t="shared" si="5"/>
        <v>2.9375</v>
      </c>
    </row>
    <row r="365" spans="1:8" ht="15.75" x14ac:dyDescent="0.2">
      <c r="A365" s="28">
        <v>2021</v>
      </c>
      <c r="B365" s="6" t="s">
        <v>3</v>
      </c>
      <c r="C365" s="49" t="s">
        <v>9</v>
      </c>
      <c r="D365" s="51" t="s">
        <v>60</v>
      </c>
      <c r="E365" s="86">
        <v>1.6</v>
      </c>
    </row>
    <row r="366" spans="1:8" ht="15.75" x14ac:dyDescent="0.2">
      <c r="A366" s="28">
        <v>2021</v>
      </c>
      <c r="B366" s="6" t="s">
        <v>3</v>
      </c>
      <c r="C366" s="48" t="s">
        <v>10</v>
      </c>
      <c r="D366" s="51" t="s">
        <v>59</v>
      </c>
      <c r="E366" s="85">
        <v>554.70000000000005</v>
      </c>
      <c r="F366" s="54">
        <f t="shared" si="5"/>
        <v>48.65789473684211</v>
      </c>
    </row>
    <row r="367" spans="1:8" ht="15.75" x14ac:dyDescent="0.2">
      <c r="A367" s="28">
        <v>2021</v>
      </c>
      <c r="B367" s="6" t="s">
        <v>3</v>
      </c>
      <c r="C367" s="48" t="s">
        <v>10</v>
      </c>
      <c r="D367" s="51" t="s">
        <v>60</v>
      </c>
      <c r="E367" s="85">
        <v>11.4</v>
      </c>
    </row>
    <row r="368" spans="1:8" ht="15.75" x14ac:dyDescent="0.2">
      <c r="A368" s="28">
        <v>2021</v>
      </c>
      <c r="B368" s="6" t="s">
        <v>15</v>
      </c>
      <c r="C368" s="48" t="s">
        <v>58</v>
      </c>
      <c r="D368" s="51" t="s">
        <v>59</v>
      </c>
      <c r="E368" s="82">
        <v>288.7</v>
      </c>
      <c r="F368" s="54">
        <f t="shared" si="5"/>
        <v>9.7864406779661017</v>
      </c>
    </row>
    <row r="369" spans="1:8" ht="15.75" x14ac:dyDescent="0.2">
      <c r="A369" s="28">
        <v>2021</v>
      </c>
      <c r="B369" s="6" t="s">
        <v>15</v>
      </c>
      <c r="C369" s="48" t="s">
        <v>58</v>
      </c>
      <c r="D369" s="51" t="s">
        <v>60</v>
      </c>
      <c r="E369" s="82">
        <v>29.5</v>
      </c>
    </row>
    <row r="370" spans="1:8" ht="15.75" x14ac:dyDescent="0.2">
      <c r="A370" s="28">
        <v>2021</v>
      </c>
      <c r="B370" s="6" t="s">
        <v>15</v>
      </c>
      <c r="C370" s="49" t="s">
        <v>5</v>
      </c>
      <c r="D370" s="51" t="s">
        <v>59</v>
      </c>
      <c r="E370" s="89">
        <v>553.5</v>
      </c>
      <c r="F370" s="54">
        <f t="shared" si="5"/>
        <v>18.890784982935152</v>
      </c>
    </row>
    <row r="371" spans="1:8" ht="15.75" x14ac:dyDescent="0.2">
      <c r="A371" s="28">
        <v>2021</v>
      </c>
      <c r="B371" s="6" t="s">
        <v>15</v>
      </c>
      <c r="C371" s="49" t="s">
        <v>5</v>
      </c>
      <c r="D371" s="51" t="s">
        <v>60</v>
      </c>
      <c r="E371" s="89">
        <v>29.3</v>
      </c>
    </row>
    <row r="372" spans="1:8" ht="15.75" x14ac:dyDescent="0.2">
      <c r="A372" s="28">
        <v>2021</v>
      </c>
      <c r="B372" s="6" t="s">
        <v>15</v>
      </c>
      <c r="C372" s="48" t="s">
        <v>6</v>
      </c>
      <c r="D372" s="51" t="s">
        <v>59</v>
      </c>
      <c r="E372" s="79">
        <v>842.2</v>
      </c>
      <c r="F372" s="54">
        <f t="shared" si="5"/>
        <v>25.140298507462688</v>
      </c>
    </row>
    <row r="373" spans="1:8" ht="15.75" x14ac:dyDescent="0.2">
      <c r="A373" s="28">
        <v>2021</v>
      </c>
      <c r="B373" s="6" t="s">
        <v>15</v>
      </c>
      <c r="C373" s="48" t="s">
        <v>6</v>
      </c>
      <c r="D373" s="51" t="s">
        <v>60</v>
      </c>
      <c r="E373" s="90">
        <v>33.5</v>
      </c>
    </row>
    <row r="374" spans="1:8" ht="15.75" x14ac:dyDescent="0.2">
      <c r="A374" s="28">
        <v>2021</v>
      </c>
      <c r="B374" s="6" t="s">
        <v>15</v>
      </c>
      <c r="C374" s="49" t="s">
        <v>7</v>
      </c>
      <c r="D374" s="51" t="s">
        <v>59</v>
      </c>
      <c r="E374" s="89">
        <v>87.3</v>
      </c>
      <c r="F374" s="54">
        <f t="shared" si="5"/>
        <v>58.199999999999996</v>
      </c>
      <c r="H374" s="50" t="s">
        <v>77</v>
      </c>
    </row>
    <row r="375" spans="1:8" ht="15.75" x14ac:dyDescent="0.2">
      <c r="A375" s="28">
        <v>2021</v>
      </c>
      <c r="B375" s="6" t="s">
        <v>15</v>
      </c>
      <c r="C375" s="49" t="s">
        <v>7</v>
      </c>
      <c r="D375" s="51" t="s">
        <v>60</v>
      </c>
      <c r="E375" s="89">
        <v>1.5</v>
      </c>
    </row>
    <row r="376" spans="1:8" ht="15.75" x14ac:dyDescent="0.2">
      <c r="A376" s="28">
        <v>2021</v>
      </c>
      <c r="B376" s="6" t="s">
        <v>15</v>
      </c>
      <c r="C376" s="48" t="s">
        <v>8</v>
      </c>
      <c r="D376" s="51" t="s">
        <v>59</v>
      </c>
      <c r="E376" s="82">
        <v>102.8</v>
      </c>
      <c r="F376" s="54">
        <f t="shared" si="5"/>
        <v>28.555555555555554</v>
      </c>
    </row>
    <row r="377" spans="1:8" ht="15.75" x14ac:dyDescent="0.2">
      <c r="A377" s="28">
        <v>2021</v>
      </c>
      <c r="B377" s="6" t="s">
        <v>15</v>
      </c>
      <c r="C377" s="48" t="s">
        <v>8</v>
      </c>
      <c r="D377" s="51" t="s">
        <v>60</v>
      </c>
      <c r="E377" s="82">
        <v>3.6</v>
      </c>
    </row>
    <row r="378" spans="1:8" ht="15.75" x14ac:dyDescent="0.2">
      <c r="A378" s="28">
        <v>2021</v>
      </c>
      <c r="B378" s="6" t="s">
        <v>15</v>
      </c>
      <c r="C378" s="49" t="s">
        <v>9</v>
      </c>
      <c r="D378" s="51" t="s">
        <v>59</v>
      </c>
      <c r="E378" s="89">
        <v>4.3</v>
      </c>
      <c r="F378" s="54">
        <f t="shared" si="5"/>
        <v>2.6874999999999996</v>
      </c>
    </row>
    <row r="379" spans="1:8" ht="15.75" x14ac:dyDescent="0.2">
      <c r="A379" s="28">
        <v>2021</v>
      </c>
      <c r="B379" s="6" t="s">
        <v>15</v>
      </c>
      <c r="C379" s="49" t="s">
        <v>9</v>
      </c>
      <c r="D379" s="51" t="s">
        <v>60</v>
      </c>
      <c r="E379" s="89">
        <v>1.6</v>
      </c>
    </row>
    <row r="380" spans="1:8" ht="15.75" x14ac:dyDescent="0.2">
      <c r="A380" s="28">
        <v>2021</v>
      </c>
      <c r="B380" s="6" t="s">
        <v>15</v>
      </c>
      <c r="C380" s="48" t="s">
        <v>10</v>
      </c>
      <c r="D380" s="51" t="s">
        <v>59</v>
      </c>
      <c r="E380" s="82">
        <v>554.5</v>
      </c>
      <c r="F380" s="54">
        <f t="shared" si="5"/>
        <v>49.070796460176986</v>
      </c>
    </row>
    <row r="381" spans="1:8" ht="15.75" x14ac:dyDescent="0.2">
      <c r="A381" s="28">
        <v>2021</v>
      </c>
      <c r="B381" s="6" t="s">
        <v>15</v>
      </c>
      <c r="C381" s="48" t="s">
        <v>10</v>
      </c>
      <c r="D381" s="51" t="s">
        <v>60</v>
      </c>
      <c r="E381" s="82">
        <v>11.3</v>
      </c>
    </row>
    <row r="382" spans="1:8" ht="15.75" x14ac:dyDescent="0.2">
      <c r="A382" s="28">
        <v>2021</v>
      </c>
      <c r="B382" s="6" t="s">
        <v>16</v>
      </c>
      <c r="C382" s="48" t="s">
        <v>58</v>
      </c>
      <c r="D382" s="51" t="s">
        <v>59</v>
      </c>
      <c r="E382" s="87">
        <v>291.5</v>
      </c>
      <c r="F382" s="54">
        <f t="shared" si="5"/>
        <v>9.7166666666666668</v>
      </c>
    </row>
    <row r="383" spans="1:8" ht="15.75" x14ac:dyDescent="0.2">
      <c r="A383" s="28">
        <v>2021</v>
      </c>
      <c r="B383" s="6" t="s">
        <v>16</v>
      </c>
      <c r="C383" s="48" t="s">
        <v>58</v>
      </c>
      <c r="D383" s="51" t="s">
        <v>60</v>
      </c>
      <c r="E383" s="87">
        <v>30</v>
      </c>
    </row>
    <row r="384" spans="1:8" ht="15.75" x14ac:dyDescent="0.2">
      <c r="A384" s="28">
        <v>2021</v>
      </c>
      <c r="B384" s="6" t="s">
        <v>16</v>
      </c>
      <c r="C384" s="49" t="s">
        <v>5</v>
      </c>
      <c r="D384" s="51" t="s">
        <v>59</v>
      </c>
      <c r="E384" s="88">
        <v>563.5</v>
      </c>
      <c r="F384" s="54">
        <f t="shared" si="5"/>
        <v>18.783333333333335</v>
      </c>
    </row>
    <row r="385" spans="1:8" ht="15.75" x14ac:dyDescent="0.2">
      <c r="A385" s="28">
        <v>2021</v>
      </c>
      <c r="B385" s="6" t="s">
        <v>16</v>
      </c>
      <c r="C385" s="49" t="s">
        <v>5</v>
      </c>
      <c r="D385" s="51" t="s">
        <v>60</v>
      </c>
      <c r="E385" s="88">
        <v>30</v>
      </c>
    </row>
    <row r="386" spans="1:8" ht="15.75" x14ac:dyDescent="0.2">
      <c r="A386" s="28">
        <v>2021</v>
      </c>
      <c r="B386" s="6" t="s">
        <v>16</v>
      </c>
      <c r="C386" s="48" t="s">
        <v>6</v>
      </c>
      <c r="D386" s="51" t="s">
        <v>59</v>
      </c>
      <c r="E386" s="87">
        <v>855</v>
      </c>
      <c r="F386" s="54">
        <f t="shared" si="5"/>
        <v>24.999999999999996</v>
      </c>
    </row>
    <row r="387" spans="1:8" ht="15.75" x14ac:dyDescent="0.2">
      <c r="A387" s="28">
        <v>2021</v>
      </c>
      <c r="B387" s="6" t="s">
        <v>16</v>
      </c>
      <c r="C387" s="48" t="s">
        <v>6</v>
      </c>
      <c r="D387" s="51" t="s">
        <v>60</v>
      </c>
      <c r="E387" s="87">
        <v>34.200000000000003</v>
      </c>
    </row>
    <row r="388" spans="1:8" ht="15.75" x14ac:dyDescent="0.2">
      <c r="A388" s="28">
        <v>2021</v>
      </c>
      <c r="B388" s="6" t="s">
        <v>16</v>
      </c>
      <c r="C388" s="49" t="s">
        <v>7</v>
      </c>
      <c r="D388" s="51" t="s">
        <v>59</v>
      </c>
      <c r="E388" s="88">
        <v>90.7</v>
      </c>
      <c r="F388" s="54">
        <f t="shared" ref="F388:F450" si="6">E388/E389</f>
        <v>56.6875</v>
      </c>
      <c r="H388" s="50" t="s">
        <v>77</v>
      </c>
    </row>
    <row r="389" spans="1:8" ht="15.75" x14ac:dyDescent="0.2">
      <c r="A389" s="28">
        <v>2021</v>
      </c>
      <c r="B389" s="6" t="s">
        <v>16</v>
      </c>
      <c r="C389" s="49" t="s">
        <v>7</v>
      </c>
      <c r="D389" s="51" t="s">
        <v>60</v>
      </c>
      <c r="E389" s="88">
        <v>1.6</v>
      </c>
    </row>
    <row r="390" spans="1:8" ht="15.75" x14ac:dyDescent="0.2">
      <c r="A390" s="28">
        <v>2021</v>
      </c>
      <c r="B390" s="6" t="s">
        <v>16</v>
      </c>
      <c r="C390" s="48" t="s">
        <v>8</v>
      </c>
      <c r="D390" s="51" t="s">
        <v>59</v>
      </c>
      <c r="E390" s="87">
        <v>105.4</v>
      </c>
      <c r="F390" s="54">
        <f t="shared" si="6"/>
        <v>28.486486486486488</v>
      </c>
    </row>
    <row r="391" spans="1:8" ht="15.75" x14ac:dyDescent="0.2">
      <c r="A391" s="28">
        <v>2021</v>
      </c>
      <c r="B391" s="6" t="s">
        <v>16</v>
      </c>
      <c r="C391" s="48" t="s">
        <v>8</v>
      </c>
      <c r="D391" s="51" t="s">
        <v>60</v>
      </c>
      <c r="E391" s="87">
        <v>3.7</v>
      </c>
    </row>
    <row r="392" spans="1:8" ht="15.75" x14ac:dyDescent="0.2">
      <c r="A392" s="28">
        <v>2021</v>
      </c>
      <c r="B392" s="6" t="s">
        <v>16</v>
      </c>
      <c r="C392" s="49" t="s">
        <v>9</v>
      </c>
      <c r="D392" s="51" t="s">
        <v>59</v>
      </c>
      <c r="E392" s="88">
        <v>4.4000000000000004</v>
      </c>
      <c r="F392" s="54">
        <f t="shared" si="6"/>
        <v>2.9333333333333336</v>
      </c>
    </row>
    <row r="393" spans="1:8" ht="15.75" x14ac:dyDescent="0.2">
      <c r="A393" s="28">
        <v>2021</v>
      </c>
      <c r="B393" s="6" t="s">
        <v>16</v>
      </c>
      <c r="C393" s="49" t="s">
        <v>9</v>
      </c>
      <c r="D393" s="51" t="s">
        <v>60</v>
      </c>
      <c r="E393" s="88">
        <v>1.5</v>
      </c>
    </row>
    <row r="394" spans="1:8" ht="15.75" x14ac:dyDescent="0.2">
      <c r="A394" s="28">
        <v>2021</v>
      </c>
      <c r="B394" s="6" t="s">
        <v>16</v>
      </c>
      <c r="C394" s="48" t="s">
        <v>10</v>
      </c>
      <c r="D394" s="51" t="s">
        <v>59</v>
      </c>
      <c r="E394" s="87">
        <v>555.1</v>
      </c>
      <c r="F394" s="54">
        <f t="shared" si="6"/>
        <v>49.123893805309734</v>
      </c>
    </row>
    <row r="395" spans="1:8" ht="15.75" x14ac:dyDescent="0.2">
      <c r="A395" s="28">
        <v>2021</v>
      </c>
      <c r="B395" s="6" t="s">
        <v>16</v>
      </c>
      <c r="C395" s="48" t="s">
        <v>10</v>
      </c>
      <c r="D395" s="51" t="s">
        <v>60</v>
      </c>
      <c r="E395" s="87">
        <v>11.3</v>
      </c>
    </row>
    <row r="396" spans="1:8" ht="15.75" x14ac:dyDescent="0.2">
      <c r="A396" s="28">
        <v>2022</v>
      </c>
      <c r="B396" s="6" t="s">
        <v>18</v>
      </c>
      <c r="C396" s="48" t="s">
        <v>58</v>
      </c>
      <c r="D396" s="51" t="s">
        <v>59</v>
      </c>
      <c r="E396" s="85">
        <v>290.89999999999998</v>
      </c>
      <c r="F396" s="54">
        <f t="shared" si="6"/>
        <v>9.6644518272425231</v>
      </c>
    </row>
    <row r="397" spans="1:8" ht="15.75" x14ac:dyDescent="0.2">
      <c r="A397" s="28">
        <v>2022</v>
      </c>
      <c r="B397" s="6" t="s">
        <v>18</v>
      </c>
      <c r="C397" s="48" t="s">
        <v>58</v>
      </c>
      <c r="D397" s="51" t="s">
        <v>60</v>
      </c>
      <c r="E397" s="85">
        <v>30.1</v>
      </c>
    </row>
    <row r="398" spans="1:8" ht="15.75" x14ac:dyDescent="0.2">
      <c r="A398" s="28">
        <v>2022</v>
      </c>
      <c r="B398" s="6" t="s">
        <v>18</v>
      </c>
      <c r="C398" s="49" t="s">
        <v>5</v>
      </c>
      <c r="D398" s="51" t="s">
        <v>59</v>
      </c>
      <c r="E398" s="86">
        <v>562.5</v>
      </c>
      <c r="F398" s="54">
        <f t="shared" si="6"/>
        <v>18.687707641196013</v>
      </c>
    </row>
    <row r="399" spans="1:8" ht="15.75" x14ac:dyDescent="0.2">
      <c r="A399" s="28">
        <v>2022</v>
      </c>
      <c r="B399" s="6" t="s">
        <v>18</v>
      </c>
      <c r="C399" s="49" t="s">
        <v>5</v>
      </c>
      <c r="D399" s="51" t="s">
        <v>60</v>
      </c>
      <c r="E399" s="86">
        <v>30.1</v>
      </c>
    </row>
    <row r="400" spans="1:8" ht="15.75" x14ac:dyDescent="0.2">
      <c r="A400" s="28">
        <v>2022</v>
      </c>
      <c r="B400" s="6" t="s">
        <v>18</v>
      </c>
      <c r="C400" s="48" t="s">
        <v>6</v>
      </c>
      <c r="D400" s="51" t="s">
        <v>59</v>
      </c>
      <c r="E400" s="85">
        <v>853.4</v>
      </c>
      <c r="F400" s="54">
        <f t="shared" si="6"/>
        <v>24.880466472303208</v>
      </c>
    </row>
    <row r="401" spans="1:8" ht="15.75" x14ac:dyDescent="0.2">
      <c r="A401" s="28">
        <v>2022</v>
      </c>
      <c r="B401" s="6" t="s">
        <v>18</v>
      </c>
      <c r="C401" s="48" t="s">
        <v>6</v>
      </c>
      <c r="D401" s="51" t="s">
        <v>60</v>
      </c>
      <c r="E401" s="85">
        <v>34.299999999999997</v>
      </c>
    </row>
    <row r="402" spans="1:8" ht="15.75" x14ac:dyDescent="0.2">
      <c r="A402" s="28">
        <v>2022</v>
      </c>
      <c r="B402" s="6" t="s">
        <v>18</v>
      </c>
      <c r="C402" s="49" t="s">
        <v>7</v>
      </c>
      <c r="D402" s="51" t="s">
        <v>59</v>
      </c>
      <c r="E402" s="86">
        <v>90.6</v>
      </c>
      <c r="F402" s="54">
        <f t="shared" si="6"/>
        <v>56.624999999999993</v>
      </c>
      <c r="H402" s="50" t="s">
        <v>77</v>
      </c>
    </row>
    <row r="403" spans="1:8" ht="15.75" x14ac:dyDescent="0.2">
      <c r="A403" s="28">
        <v>2022</v>
      </c>
      <c r="B403" s="6" t="s">
        <v>18</v>
      </c>
      <c r="C403" s="49" t="s">
        <v>7</v>
      </c>
      <c r="D403" s="51" t="s">
        <v>60</v>
      </c>
      <c r="E403" s="86">
        <v>1.6</v>
      </c>
    </row>
    <row r="404" spans="1:8" ht="15.75" x14ac:dyDescent="0.2">
      <c r="A404" s="28">
        <v>2022</v>
      </c>
      <c r="B404" s="6" t="s">
        <v>18</v>
      </c>
      <c r="C404" s="48" t="s">
        <v>8</v>
      </c>
      <c r="D404" s="51" t="s">
        <v>59</v>
      </c>
      <c r="E404" s="85">
        <v>104.8</v>
      </c>
      <c r="F404" s="54">
        <f t="shared" si="6"/>
        <v>28.324324324324323</v>
      </c>
    </row>
    <row r="405" spans="1:8" ht="15.75" x14ac:dyDescent="0.2">
      <c r="A405" s="28">
        <v>2022</v>
      </c>
      <c r="B405" s="6" t="s">
        <v>18</v>
      </c>
      <c r="C405" s="48" t="s">
        <v>8</v>
      </c>
      <c r="D405" s="51" t="s">
        <v>60</v>
      </c>
      <c r="E405" s="85">
        <v>3.7</v>
      </c>
    </row>
    <row r="406" spans="1:8" ht="15.75" x14ac:dyDescent="0.2">
      <c r="A406" s="28">
        <v>2022</v>
      </c>
      <c r="B406" s="6" t="s">
        <v>18</v>
      </c>
      <c r="C406" s="49" t="s">
        <v>9</v>
      </c>
      <c r="D406" s="51" t="s">
        <v>59</v>
      </c>
      <c r="E406" s="86">
        <v>4.2</v>
      </c>
      <c r="F406" s="54">
        <f t="shared" si="6"/>
        <v>2.8000000000000003</v>
      </c>
    </row>
    <row r="407" spans="1:8" ht="15.75" x14ac:dyDescent="0.2">
      <c r="A407" s="28">
        <v>2022</v>
      </c>
      <c r="B407" s="6" t="s">
        <v>18</v>
      </c>
      <c r="C407" s="49" t="s">
        <v>9</v>
      </c>
      <c r="D407" s="51" t="s">
        <v>60</v>
      </c>
      <c r="E407" s="86">
        <v>1.5</v>
      </c>
    </row>
    <row r="408" spans="1:8" ht="15.75" x14ac:dyDescent="0.2">
      <c r="A408" s="28">
        <v>2022</v>
      </c>
      <c r="B408" s="6" t="s">
        <v>18</v>
      </c>
      <c r="C408" s="48" t="s">
        <v>10</v>
      </c>
      <c r="D408" s="51" t="s">
        <v>59</v>
      </c>
      <c r="E408" s="85">
        <v>553.29999999999995</v>
      </c>
      <c r="F408" s="54">
        <f t="shared" si="6"/>
        <v>49.401785714285715</v>
      </c>
    </row>
    <row r="409" spans="1:8" ht="15.75" x14ac:dyDescent="0.2">
      <c r="A409" s="28">
        <v>2022</v>
      </c>
      <c r="B409" s="6" t="s">
        <v>18</v>
      </c>
      <c r="C409" s="48" t="s">
        <v>10</v>
      </c>
      <c r="D409" s="51" t="s">
        <v>60</v>
      </c>
      <c r="E409" s="85">
        <v>11.2</v>
      </c>
    </row>
    <row r="410" spans="1:8" ht="15.75" x14ac:dyDescent="0.2">
      <c r="A410" s="28">
        <v>2022</v>
      </c>
      <c r="B410" s="6" t="s">
        <v>3</v>
      </c>
      <c r="C410" s="48" t="s">
        <v>58</v>
      </c>
      <c r="D410" s="51" t="s">
        <v>59</v>
      </c>
      <c r="E410" s="85">
        <v>293.10000000000002</v>
      </c>
      <c r="F410" s="54">
        <f t="shared" si="6"/>
        <v>9.8355704697986575</v>
      </c>
    </row>
    <row r="411" spans="1:8" ht="15.75" x14ac:dyDescent="0.2">
      <c r="A411" s="28">
        <v>2022</v>
      </c>
      <c r="B411" s="6" t="s">
        <v>3</v>
      </c>
      <c r="C411" s="48" t="s">
        <v>58</v>
      </c>
      <c r="D411" s="51" t="s">
        <v>60</v>
      </c>
      <c r="E411" s="85">
        <v>29.8</v>
      </c>
    </row>
    <row r="412" spans="1:8" ht="15.75" x14ac:dyDescent="0.2">
      <c r="A412" s="28">
        <v>2022</v>
      </c>
      <c r="B412" s="6" t="s">
        <v>3</v>
      </c>
      <c r="C412" s="49" t="s">
        <v>5</v>
      </c>
      <c r="D412" s="51" t="s">
        <v>59</v>
      </c>
      <c r="E412" s="86">
        <v>571.9</v>
      </c>
      <c r="F412" s="54">
        <f t="shared" si="6"/>
        <v>19.127090301003346</v>
      </c>
    </row>
    <row r="413" spans="1:8" ht="15.75" x14ac:dyDescent="0.2">
      <c r="A413" s="28">
        <v>2022</v>
      </c>
      <c r="B413" s="6" t="s">
        <v>3</v>
      </c>
      <c r="C413" s="49" t="s">
        <v>5</v>
      </c>
      <c r="D413" s="51" t="s">
        <v>60</v>
      </c>
      <c r="E413" s="86">
        <v>29.9</v>
      </c>
    </row>
    <row r="414" spans="1:8" ht="15.75" x14ac:dyDescent="0.2">
      <c r="A414" s="28">
        <v>2022</v>
      </c>
      <c r="B414" s="6" t="s">
        <v>3</v>
      </c>
      <c r="C414" s="48" t="s">
        <v>6</v>
      </c>
      <c r="D414" s="51" t="s">
        <v>59</v>
      </c>
      <c r="E414" s="85">
        <v>864.9</v>
      </c>
      <c r="F414" s="54">
        <f t="shared" si="6"/>
        <v>25.438235294117646</v>
      </c>
    </row>
    <row r="415" spans="1:8" ht="15.75" x14ac:dyDescent="0.2">
      <c r="A415" s="28">
        <v>2022</v>
      </c>
      <c r="B415" s="6" t="s">
        <v>3</v>
      </c>
      <c r="C415" s="48" t="s">
        <v>6</v>
      </c>
      <c r="D415" s="51" t="s">
        <v>60</v>
      </c>
      <c r="E415" s="85">
        <v>34</v>
      </c>
    </row>
    <row r="416" spans="1:8" ht="15.75" x14ac:dyDescent="0.2">
      <c r="A416" s="28">
        <v>2022</v>
      </c>
      <c r="B416" s="6" t="s">
        <v>3</v>
      </c>
      <c r="C416" s="49" t="s">
        <v>7</v>
      </c>
      <c r="D416" s="51" t="s">
        <v>59</v>
      </c>
      <c r="E416" s="86">
        <v>94</v>
      </c>
      <c r="F416" s="54">
        <f t="shared" si="6"/>
        <v>58.75</v>
      </c>
      <c r="H416" s="50" t="s">
        <v>77</v>
      </c>
    </row>
    <row r="417" spans="1:8" ht="15.75" x14ac:dyDescent="0.2">
      <c r="A417" s="28">
        <v>2022</v>
      </c>
      <c r="B417" s="6" t="s">
        <v>3</v>
      </c>
      <c r="C417" s="49" t="s">
        <v>7</v>
      </c>
      <c r="D417" s="51" t="s">
        <v>60</v>
      </c>
      <c r="E417" s="86">
        <v>1.6</v>
      </c>
    </row>
    <row r="418" spans="1:8" ht="15.75" x14ac:dyDescent="0.2">
      <c r="A418" s="28">
        <v>2022</v>
      </c>
      <c r="B418" s="6" t="s">
        <v>3</v>
      </c>
      <c r="C418" s="48" t="s">
        <v>8</v>
      </c>
      <c r="D418" s="51" t="s">
        <v>59</v>
      </c>
      <c r="E418" s="85">
        <v>107.3</v>
      </c>
      <c r="F418" s="54">
        <f t="shared" si="6"/>
        <v>29.805555555555554</v>
      </c>
    </row>
    <row r="419" spans="1:8" ht="15.75" x14ac:dyDescent="0.2">
      <c r="A419" s="28">
        <v>2022</v>
      </c>
      <c r="B419" s="6" t="s">
        <v>3</v>
      </c>
      <c r="C419" s="48" t="s">
        <v>8</v>
      </c>
      <c r="D419" s="51" t="s">
        <v>60</v>
      </c>
      <c r="E419" s="85">
        <v>3.6</v>
      </c>
    </row>
    <row r="420" spans="1:8" ht="15.75" x14ac:dyDescent="0.2">
      <c r="A420" s="28">
        <v>2022</v>
      </c>
      <c r="B420" s="6" t="s">
        <v>3</v>
      </c>
      <c r="C420" s="49" t="s">
        <v>9</v>
      </c>
      <c r="D420" s="51" t="s">
        <v>59</v>
      </c>
      <c r="E420" s="86">
        <v>4.2</v>
      </c>
      <c r="F420" s="54">
        <f t="shared" si="6"/>
        <v>3.0000000000000004</v>
      </c>
    </row>
    <row r="421" spans="1:8" ht="15.75" x14ac:dyDescent="0.2">
      <c r="A421" s="28">
        <v>2022</v>
      </c>
      <c r="B421" s="6" t="s">
        <v>3</v>
      </c>
      <c r="C421" s="49" t="s">
        <v>9</v>
      </c>
      <c r="D421" s="51" t="s">
        <v>60</v>
      </c>
      <c r="E421" s="86">
        <v>1.4</v>
      </c>
    </row>
    <row r="422" spans="1:8" ht="15.75" x14ac:dyDescent="0.2">
      <c r="A422" s="28">
        <v>2022</v>
      </c>
      <c r="B422" s="6" t="s">
        <v>3</v>
      </c>
      <c r="C422" s="48" t="s">
        <v>10</v>
      </c>
      <c r="D422" s="51" t="s">
        <v>59</v>
      </c>
      <c r="E422" s="85">
        <v>549.20000000000005</v>
      </c>
      <c r="F422" s="54">
        <f t="shared" si="6"/>
        <v>49.927272727272729</v>
      </c>
    </row>
    <row r="423" spans="1:8" ht="15.75" x14ac:dyDescent="0.2">
      <c r="A423" s="28">
        <v>2022</v>
      </c>
      <c r="B423" s="6" t="s">
        <v>3</v>
      </c>
      <c r="C423" s="48" t="s">
        <v>10</v>
      </c>
      <c r="D423" s="51" t="s">
        <v>60</v>
      </c>
      <c r="E423" s="85">
        <v>11</v>
      </c>
    </row>
    <row r="424" spans="1:8" ht="15.75" x14ac:dyDescent="0.2">
      <c r="A424" s="28">
        <v>2022</v>
      </c>
      <c r="B424" s="6" t="s">
        <v>15</v>
      </c>
      <c r="C424" s="48" t="s">
        <v>58</v>
      </c>
      <c r="D424" s="51" t="s">
        <v>59</v>
      </c>
      <c r="E424" s="85">
        <v>291.89999999999998</v>
      </c>
      <c r="F424" s="54">
        <f t="shared" si="6"/>
        <v>9.828282828282827</v>
      </c>
    </row>
    <row r="425" spans="1:8" ht="15.75" x14ac:dyDescent="0.2">
      <c r="A425" s="28">
        <v>2022</v>
      </c>
      <c r="B425" s="6" t="s">
        <v>15</v>
      </c>
      <c r="C425" s="48" t="s">
        <v>58</v>
      </c>
      <c r="D425" s="51" t="s">
        <v>60</v>
      </c>
      <c r="E425" s="85">
        <v>29.7</v>
      </c>
    </row>
    <row r="426" spans="1:8" ht="15.75" x14ac:dyDescent="0.2">
      <c r="A426" s="28">
        <v>2022</v>
      </c>
      <c r="B426" s="6" t="s">
        <v>15</v>
      </c>
      <c r="C426" s="49" t="s">
        <v>5</v>
      </c>
      <c r="D426" s="51" t="s">
        <v>59</v>
      </c>
      <c r="E426" s="86">
        <v>571.5</v>
      </c>
      <c r="F426" s="54">
        <f t="shared" si="6"/>
        <v>19.177852348993287</v>
      </c>
    </row>
    <row r="427" spans="1:8" ht="15.75" x14ac:dyDescent="0.2">
      <c r="A427" s="28">
        <v>2022</v>
      </c>
      <c r="B427" s="6" t="s">
        <v>15</v>
      </c>
      <c r="C427" s="49" t="s">
        <v>5</v>
      </c>
      <c r="D427" s="51" t="s">
        <v>60</v>
      </c>
      <c r="E427" s="86">
        <v>29.8</v>
      </c>
    </row>
    <row r="428" spans="1:8" ht="15.75" x14ac:dyDescent="0.2">
      <c r="A428" s="28">
        <v>2022</v>
      </c>
      <c r="B428" s="6" t="s">
        <v>15</v>
      </c>
      <c r="C428" s="48" t="s">
        <v>6</v>
      </c>
      <c r="D428" s="51" t="s">
        <v>59</v>
      </c>
      <c r="E428" s="85">
        <v>863.3</v>
      </c>
      <c r="F428" s="54">
        <f t="shared" si="6"/>
        <v>25.466076696165192</v>
      </c>
    </row>
    <row r="429" spans="1:8" ht="15.75" x14ac:dyDescent="0.2">
      <c r="A429" s="28">
        <v>2022</v>
      </c>
      <c r="B429" s="6" t="s">
        <v>15</v>
      </c>
      <c r="C429" s="48" t="s">
        <v>6</v>
      </c>
      <c r="D429" s="51" t="s">
        <v>60</v>
      </c>
      <c r="E429" s="85">
        <v>33.9</v>
      </c>
    </row>
    <row r="430" spans="1:8" ht="15.75" x14ac:dyDescent="0.2">
      <c r="A430" s="28">
        <v>2022</v>
      </c>
      <c r="B430" s="6" t="s">
        <v>15</v>
      </c>
      <c r="C430" s="49" t="s">
        <v>7</v>
      </c>
      <c r="D430" s="51" t="s">
        <v>59</v>
      </c>
      <c r="E430" s="86">
        <v>94.9</v>
      </c>
      <c r="F430" s="54">
        <f t="shared" si="6"/>
        <v>59.3125</v>
      </c>
      <c r="H430" s="50" t="s">
        <v>77</v>
      </c>
    </row>
    <row r="431" spans="1:8" ht="15.75" x14ac:dyDescent="0.2">
      <c r="A431" s="28">
        <v>2022</v>
      </c>
      <c r="B431" s="6" t="s">
        <v>15</v>
      </c>
      <c r="C431" s="49" t="s">
        <v>7</v>
      </c>
      <c r="D431" s="51" t="s">
        <v>60</v>
      </c>
      <c r="E431" s="86">
        <v>1.6</v>
      </c>
    </row>
    <row r="432" spans="1:8" ht="15.75" x14ac:dyDescent="0.2">
      <c r="A432" s="28">
        <v>2022</v>
      </c>
      <c r="B432" s="6" t="s">
        <v>15</v>
      </c>
      <c r="C432" s="48" t="s">
        <v>8</v>
      </c>
      <c r="D432" s="51" t="s">
        <v>59</v>
      </c>
      <c r="E432" s="85">
        <v>106.3</v>
      </c>
      <c r="F432" s="54">
        <f t="shared" si="6"/>
        <v>29.527777777777775</v>
      </c>
    </row>
    <row r="433" spans="1:8" ht="15.75" x14ac:dyDescent="0.2">
      <c r="A433" s="28">
        <v>2022</v>
      </c>
      <c r="B433" s="6" t="s">
        <v>15</v>
      </c>
      <c r="C433" s="48" t="s">
        <v>8</v>
      </c>
      <c r="D433" s="51" t="s">
        <v>60</v>
      </c>
      <c r="E433" s="85">
        <v>3.6</v>
      </c>
    </row>
    <row r="434" spans="1:8" ht="15.75" x14ac:dyDescent="0.2">
      <c r="A434" s="28">
        <v>2022</v>
      </c>
      <c r="B434" s="6" t="s">
        <v>15</v>
      </c>
      <c r="C434" s="49" t="s">
        <v>9</v>
      </c>
      <c r="D434" s="51" t="s">
        <v>59</v>
      </c>
      <c r="E434" s="86">
        <v>4</v>
      </c>
      <c r="F434" s="54">
        <f t="shared" si="6"/>
        <v>3.0769230769230766</v>
      </c>
    </row>
    <row r="435" spans="1:8" ht="15.75" x14ac:dyDescent="0.2">
      <c r="A435" s="28">
        <v>2022</v>
      </c>
      <c r="B435" s="6" t="s">
        <v>15</v>
      </c>
      <c r="C435" s="49" t="s">
        <v>9</v>
      </c>
      <c r="D435" s="51" t="s">
        <v>60</v>
      </c>
      <c r="E435" s="86">
        <v>1.3</v>
      </c>
    </row>
    <row r="436" spans="1:8" ht="15.75" x14ac:dyDescent="0.2">
      <c r="A436" s="28">
        <v>2022</v>
      </c>
      <c r="B436" s="6" t="s">
        <v>15</v>
      </c>
      <c r="C436" s="48" t="s">
        <v>10</v>
      </c>
      <c r="D436" s="51" t="s">
        <v>59</v>
      </c>
      <c r="E436" s="85">
        <v>548.70000000000005</v>
      </c>
      <c r="F436" s="54">
        <f t="shared" si="6"/>
        <v>50.339449541284409</v>
      </c>
      <c r="H436" s="50" t="s">
        <v>77</v>
      </c>
    </row>
    <row r="437" spans="1:8" ht="15.75" x14ac:dyDescent="0.2">
      <c r="A437" s="28">
        <v>2022</v>
      </c>
      <c r="B437" s="6" t="s">
        <v>15</v>
      </c>
      <c r="C437" s="48" t="s">
        <v>10</v>
      </c>
      <c r="D437" s="51" t="s">
        <v>60</v>
      </c>
      <c r="E437" s="85">
        <v>10.9</v>
      </c>
    </row>
    <row r="438" spans="1:8" ht="15.75" x14ac:dyDescent="0.2">
      <c r="A438" s="28">
        <v>2022</v>
      </c>
      <c r="B438" s="6" t="s">
        <v>16</v>
      </c>
      <c r="C438" s="48" t="s">
        <v>58</v>
      </c>
      <c r="D438" s="51" t="s">
        <v>59</v>
      </c>
      <c r="E438" s="85">
        <v>294.3</v>
      </c>
      <c r="F438" s="54">
        <f t="shared" si="6"/>
        <v>9.7450331125827816</v>
      </c>
    </row>
    <row r="439" spans="1:8" ht="15.75" x14ac:dyDescent="0.2">
      <c r="A439" s="28">
        <v>2022</v>
      </c>
      <c r="B439" s="6" t="s">
        <v>16</v>
      </c>
      <c r="C439" s="48" t="s">
        <v>58</v>
      </c>
      <c r="D439" s="51" t="s">
        <v>60</v>
      </c>
      <c r="E439" s="85">
        <v>30.2</v>
      </c>
    </row>
    <row r="440" spans="1:8" ht="15.75" x14ac:dyDescent="0.2">
      <c r="A440" s="28">
        <v>2022</v>
      </c>
      <c r="B440" s="6" t="s">
        <v>16</v>
      </c>
      <c r="C440" s="49" t="s">
        <v>5</v>
      </c>
      <c r="D440" s="51" t="s">
        <v>59</v>
      </c>
      <c r="E440" s="86">
        <v>579.29999999999995</v>
      </c>
      <c r="F440" s="54">
        <f t="shared" si="6"/>
        <v>18.99344262295082</v>
      </c>
    </row>
    <row r="441" spans="1:8" ht="15.75" x14ac:dyDescent="0.2">
      <c r="A441" s="28">
        <v>2022</v>
      </c>
      <c r="B441" s="6" t="s">
        <v>16</v>
      </c>
      <c r="C441" s="49" t="s">
        <v>5</v>
      </c>
      <c r="D441" s="51" t="s">
        <v>60</v>
      </c>
      <c r="E441" s="86">
        <v>30.5</v>
      </c>
    </row>
    <row r="442" spans="1:8" ht="15.75" x14ac:dyDescent="0.2">
      <c r="A442" s="28">
        <v>2022</v>
      </c>
      <c r="B442" s="6" t="s">
        <v>16</v>
      </c>
      <c r="C442" s="48" t="s">
        <v>6</v>
      </c>
      <c r="D442" s="51" t="s">
        <v>59</v>
      </c>
      <c r="E442" s="85">
        <v>873.6</v>
      </c>
      <c r="F442" s="54">
        <f t="shared" si="6"/>
        <v>25.248554913294797</v>
      </c>
    </row>
    <row r="443" spans="1:8" ht="15.75" x14ac:dyDescent="0.2">
      <c r="A443" s="28">
        <v>2022</v>
      </c>
      <c r="B443" s="6" t="s">
        <v>16</v>
      </c>
      <c r="C443" s="48" t="s">
        <v>6</v>
      </c>
      <c r="D443" s="51" t="s">
        <v>60</v>
      </c>
      <c r="E443" s="85">
        <v>34.6</v>
      </c>
    </row>
    <row r="444" spans="1:8" ht="15.75" x14ac:dyDescent="0.2">
      <c r="A444" s="28">
        <v>2022</v>
      </c>
      <c r="B444" s="6" t="s">
        <v>16</v>
      </c>
      <c r="C444" s="49" t="s">
        <v>7</v>
      </c>
      <c r="D444" s="51" t="s">
        <v>59</v>
      </c>
      <c r="E444" s="86">
        <v>97.9</v>
      </c>
      <c r="F444" s="54">
        <f t="shared" si="6"/>
        <v>57.588235294117652</v>
      </c>
      <c r="H444" s="50" t="s">
        <v>77</v>
      </c>
    </row>
    <row r="445" spans="1:8" ht="15.75" x14ac:dyDescent="0.2">
      <c r="A445" s="28">
        <v>2022</v>
      </c>
      <c r="B445" s="6" t="s">
        <v>16</v>
      </c>
      <c r="C445" s="49" t="s">
        <v>7</v>
      </c>
      <c r="D445" s="51" t="s">
        <v>60</v>
      </c>
      <c r="E445" s="86">
        <v>1.7</v>
      </c>
    </row>
    <row r="446" spans="1:8" ht="15.75" x14ac:dyDescent="0.2">
      <c r="A446" s="28">
        <v>2022</v>
      </c>
      <c r="B446" s="6" t="s">
        <v>16</v>
      </c>
      <c r="C446" s="48" t="s">
        <v>8</v>
      </c>
      <c r="D446" s="51" t="s">
        <v>59</v>
      </c>
      <c r="E446" s="85">
        <v>108.5</v>
      </c>
      <c r="F446" s="54">
        <f t="shared" si="6"/>
        <v>29.324324324324323</v>
      </c>
    </row>
    <row r="447" spans="1:8" ht="15.75" x14ac:dyDescent="0.2">
      <c r="A447" s="28">
        <v>2022</v>
      </c>
      <c r="B447" s="6" t="s">
        <v>16</v>
      </c>
      <c r="C447" s="48" t="s">
        <v>8</v>
      </c>
      <c r="D447" s="51" t="s">
        <v>60</v>
      </c>
      <c r="E447" s="85">
        <v>3.7</v>
      </c>
    </row>
    <row r="448" spans="1:8" ht="15.75" x14ac:dyDescent="0.2">
      <c r="A448" s="28">
        <v>2022</v>
      </c>
      <c r="B448" s="6" t="s">
        <v>16</v>
      </c>
      <c r="C448" s="49" t="s">
        <v>9</v>
      </c>
      <c r="D448" s="51" t="s">
        <v>59</v>
      </c>
      <c r="E448" s="86">
        <v>3.9</v>
      </c>
      <c r="F448" s="54">
        <f t="shared" si="6"/>
        <v>3</v>
      </c>
    </row>
    <row r="449" spans="1:8" ht="15.75" x14ac:dyDescent="0.2">
      <c r="A449" s="28">
        <v>2022</v>
      </c>
      <c r="B449" s="6" t="s">
        <v>16</v>
      </c>
      <c r="C449" s="49" t="s">
        <v>9</v>
      </c>
      <c r="D449" s="51" t="s">
        <v>60</v>
      </c>
      <c r="E449" s="86">
        <v>1.3</v>
      </c>
    </row>
    <row r="450" spans="1:8" ht="15.75" x14ac:dyDescent="0.2">
      <c r="A450" s="28">
        <v>2022</v>
      </c>
      <c r="B450" s="6" t="s">
        <v>16</v>
      </c>
      <c r="C450" s="48" t="s">
        <v>10</v>
      </c>
      <c r="D450" s="51" t="s">
        <v>59</v>
      </c>
      <c r="E450" s="85">
        <v>550.6</v>
      </c>
      <c r="F450" s="54">
        <f t="shared" si="6"/>
        <v>50.513761467889907</v>
      </c>
      <c r="H450" s="50" t="s">
        <v>77</v>
      </c>
    </row>
    <row r="451" spans="1:8" ht="15.75" x14ac:dyDescent="0.2">
      <c r="A451" s="28">
        <v>2022</v>
      </c>
      <c r="B451" s="6" t="s">
        <v>16</v>
      </c>
      <c r="C451" s="48" t="s">
        <v>10</v>
      </c>
      <c r="D451" s="51" t="s">
        <v>60</v>
      </c>
      <c r="E451" s="85">
        <v>10.9</v>
      </c>
    </row>
    <row r="452" spans="1:8" ht="15.75" x14ac:dyDescent="0.2">
      <c r="A452" s="28">
        <v>2023</v>
      </c>
      <c r="B452" s="6" t="s">
        <v>18</v>
      </c>
      <c r="C452" s="48" t="s">
        <v>58</v>
      </c>
      <c r="D452" s="51" t="s">
        <v>59</v>
      </c>
      <c r="E452" s="85">
        <v>293</v>
      </c>
      <c r="F452" s="54">
        <f t="shared" ref="F452:F514" si="7">E452/E453</f>
        <v>9.6381578947368425</v>
      </c>
    </row>
    <row r="453" spans="1:8" ht="15.75" x14ac:dyDescent="0.2">
      <c r="A453" s="28">
        <v>2023</v>
      </c>
      <c r="B453" s="6" t="s">
        <v>18</v>
      </c>
      <c r="C453" s="48" t="s">
        <v>58</v>
      </c>
      <c r="D453" s="51" t="s">
        <v>60</v>
      </c>
      <c r="E453" s="85">
        <v>30.4</v>
      </c>
    </row>
    <row r="454" spans="1:8" ht="15.75" x14ac:dyDescent="0.2">
      <c r="A454" s="28">
        <v>2023</v>
      </c>
      <c r="B454" s="6" t="s">
        <v>18</v>
      </c>
      <c r="C454" s="49" t="s">
        <v>5</v>
      </c>
      <c r="D454" s="51" t="s">
        <v>59</v>
      </c>
      <c r="E454" s="86">
        <v>574.1</v>
      </c>
      <c r="F454" s="54">
        <f t="shared" si="7"/>
        <v>18.700325732899024</v>
      </c>
    </row>
    <row r="455" spans="1:8" ht="15.75" x14ac:dyDescent="0.2">
      <c r="A455" s="28">
        <v>2023</v>
      </c>
      <c r="B455" s="6" t="s">
        <v>18</v>
      </c>
      <c r="C455" s="49" t="s">
        <v>5</v>
      </c>
      <c r="D455" s="51" t="s">
        <v>60</v>
      </c>
      <c r="E455" s="86">
        <v>30.7</v>
      </c>
    </row>
    <row r="456" spans="1:8" ht="15.75" x14ac:dyDescent="0.2">
      <c r="A456" s="28">
        <v>2023</v>
      </c>
      <c r="B456" s="6" t="s">
        <v>18</v>
      </c>
      <c r="C456" s="48" t="s">
        <v>6</v>
      </c>
      <c r="D456" s="51" t="s">
        <v>59</v>
      </c>
      <c r="E456" s="85">
        <v>867.1</v>
      </c>
      <c r="F456" s="54">
        <f t="shared" si="7"/>
        <v>24.916666666666668</v>
      </c>
    </row>
    <row r="457" spans="1:8" ht="15.75" x14ac:dyDescent="0.2">
      <c r="A457" s="28">
        <v>2023</v>
      </c>
      <c r="B457" s="6" t="s">
        <v>18</v>
      </c>
      <c r="C457" s="48" t="s">
        <v>6</v>
      </c>
      <c r="D457" s="51" t="s">
        <v>60</v>
      </c>
      <c r="E457" s="85">
        <v>34.799999999999997</v>
      </c>
    </row>
    <row r="458" spans="1:8" ht="15.75" x14ac:dyDescent="0.2">
      <c r="A458" s="28">
        <v>2023</v>
      </c>
      <c r="B458" s="6" t="s">
        <v>18</v>
      </c>
      <c r="C458" s="49" t="s">
        <v>7</v>
      </c>
      <c r="D458" s="51" t="s">
        <v>59</v>
      </c>
      <c r="E458" s="86">
        <v>96.7</v>
      </c>
      <c r="F458" s="54">
        <f t="shared" si="7"/>
        <v>56.882352941176471</v>
      </c>
      <c r="H458" s="50" t="s">
        <v>77</v>
      </c>
    </row>
    <row r="459" spans="1:8" ht="15.75" x14ac:dyDescent="0.2">
      <c r="A459" s="28">
        <v>2023</v>
      </c>
      <c r="B459" s="6" t="s">
        <v>18</v>
      </c>
      <c r="C459" s="49" t="s">
        <v>7</v>
      </c>
      <c r="D459" s="51" t="s">
        <v>60</v>
      </c>
      <c r="E459" s="86">
        <v>1.7</v>
      </c>
    </row>
    <row r="460" spans="1:8" ht="15.75" x14ac:dyDescent="0.2">
      <c r="A460" s="28">
        <v>2023</v>
      </c>
      <c r="B460" s="6" t="s">
        <v>18</v>
      </c>
      <c r="C460" s="48" t="s">
        <v>8</v>
      </c>
      <c r="D460" s="51" t="s">
        <v>59</v>
      </c>
      <c r="E460" s="85">
        <v>107.6</v>
      </c>
      <c r="F460" s="54">
        <f t="shared" si="7"/>
        <v>29.081081081081077</v>
      </c>
    </row>
    <row r="461" spans="1:8" ht="15.75" x14ac:dyDescent="0.2">
      <c r="A461" s="28">
        <v>2023</v>
      </c>
      <c r="B461" s="6" t="s">
        <v>18</v>
      </c>
      <c r="C461" s="48" t="s">
        <v>8</v>
      </c>
      <c r="D461" s="51" t="s">
        <v>60</v>
      </c>
      <c r="E461" s="85">
        <v>3.7</v>
      </c>
    </row>
    <row r="462" spans="1:8" ht="15.75" x14ac:dyDescent="0.2">
      <c r="A462" s="28">
        <v>2023</v>
      </c>
      <c r="B462" s="6" t="s">
        <v>18</v>
      </c>
      <c r="C462" s="49" t="s">
        <v>9</v>
      </c>
      <c r="D462" s="51" t="s">
        <v>59</v>
      </c>
      <c r="E462" s="86">
        <v>3.8</v>
      </c>
      <c r="F462" s="54">
        <f t="shared" si="7"/>
        <v>2.9230769230769229</v>
      </c>
    </row>
    <row r="463" spans="1:8" ht="15.75" x14ac:dyDescent="0.2">
      <c r="A463" s="28">
        <v>2023</v>
      </c>
      <c r="B463" s="6" t="s">
        <v>18</v>
      </c>
      <c r="C463" s="49" t="s">
        <v>9</v>
      </c>
      <c r="D463" s="51" t="s">
        <v>60</v>
      </c>
      <c r="E463" s="86">
        <v>1.3</v>
      </c>
    </row>
    <row r="464" spans="1:8" ht="15.75" x14ac:dyDescent="0.2">
      <c r="A464" s="28">
        <v>2023</v>
      </c>
      <c r="B464" s="6" t="s">
        <v>18</v>
      </c>
      <c r="C464" s="48" t="s">
        <v>10</v>
      </c>
      <c r="D464" s="51" t="s">
        <v>59</v>
      </c>
      <c r="E464" s="85">
        <v>560.29999999999995</v>
      </c>
      <c r="F464" s="54">
        <f t="shared" si="7"/>
        <v>50.93636363636363</v>
      </c>
      <c r="H464" s="50" t="s">
        <v>77</v>
      </c>
    </row>
    <row r="465" spans="1:8" ht="15.75" x14ac:dyDescent="0.2">
      <c r="A465" s="28">
        <v>2023</v>
      </c>
      <c r="B465" s="6" t="s">
        <v>18</v>
      </c>
      <c r="C465" s="48" t="s">
        <v>10</v>
      </c>
      <c r="D465" s="51" t="s">
        <v>60</v>
      </c>
      <c r="E465" s="85">
        <v>11</v>
      </c>
    </row>
    <row r="466" spans="1:8" ht="15.75" x14ac:dyDescent="0.2">
      <c r="A466" s="28">
        <v>2023</v>
      </c>
      <c r="B466" s="6" t="s">
        <v>3</v>
      </c>
      <c r="C466" s="48" t="s">
        <v>58</v>
      </c>
      <c r="D466" s="51" t="s">
        <v>59</v>
      </c>
      <c r="E466" s="85">
        <v>296.2</v>
      </c>
      <c r="F466" s="54">
        <f t="shared" si="7"/>
        <v>9.7755775577557742</v>
      </c>
    </row>
    <row r="467" spans="1:8" ht="15.75" x14ac:dyDescent="0.2">
      <c r="A467" s="28">
        <v>2023</v>
      </c>
      <c r="B467" s="6" t="s">
        <v>3</v>
      </c>
      <c r="C467" s="48" t="s">
        <v>58</v>
      </c>
      <c r="D467" s="51" t="s">
        <v>60</v>
      </c>
      <c r="E467" s="85">
        <v>30.3</v>
      </c>
    </row>
    <row r="468" spans="1:8" ht="15.75" x14ac:dyDescent="0.2">
      <c r="A468" s="28">
        <v>2023</v>
      </c>
      <c r="B468" s="6" t="s">
        <v>3</v>
      </c>
      <c r="C468" s="49" t="s">
        <v>5</v>
      </c>
      <c r="D468" s="51" t="s">
        <v>59</v>
      </c>
      <c r="E468" s="86">
        <v>584.9</v>
      </c>
      <c r="F468" s="54">
        <f t="shared" si="7"/>
        <v>19.052117263843648</v>
      </c>
    </row>
    <row r="469" spans="1:8" ht="15.75" x14ac:dyDescent="0.2">
      <c r="A469" s="28">
        <v>2023</v>
      </c>
      <c r="B469" s="6" t="s">
        <v>3</v>
      </c>
      <c r="C469" s="49" t="s">
        <v>5</v>
      </c>
      <c r="D469" s="51" t="s">
        <v>60</v>
      </c>
      <c r="E469" s="86">
        <v>30.7</v>
      </c>
    </row>
    <row r="470" spans="1:8" ht="15.75" x14ac:dyDescent="0.2">
      <c r="A470" s="28">
        <v>2023</v>
      </c>
      <c r="B470" s="6" t="s">
        <v>3</v>
      </c>
      <c r="C470" s="48" t="s">
        <v>6</v>
      </c>
      <c r="D470" s="51" t="s">
        <v>59</v>
      </c>
      <c r="E470" s="85">
        <v>881.1</v>
      </c>
      <c r="F470" s="54">
        <f t="shared" si="7"/>
        <v>25.246418338108885</v>
      </c>
    </row>
    <row r="471" spans="1:8" ht="15.75" x14ac:dyDescent="0.2">
      <c r="A471" s="28">
        <v>2023</v>
      </c>
      <c r="B471" s="6" t="s">
        <v>3</v>
      </c>
      <c r="C471" s="48" t="s">
        <v>6</v>
      </c>
      <c r="D471" s="51" t="s">
        <v>60</v>
      </c>
      <c r="E471" s="85">
        <v>34.9</v>
      </c>
    </row>
    <row r="472" spans="1:8" ht="15.75" x14ac:dyDescent="0.2">
      <c r="A472" s="28">
        <v>2023</v>
      </c>
      <c r="B472" s="6" t="s">
        <v>3</v>
      </c>
      <c r="C472" s="49" t="s">
        <v>7</v>
      </c>
      <c r="D472" s="51" t="s">
        <v>59</v>
      </c>
      <c r="E472" s="86">
        <v>100.7</v>
      </c>
      <c r="F472" s="54">
        <f t="shared" si="7"/>
        <v>59.235294117647065</v>
      </c>
      <c r="H472" s="50" t="s">
        <v>77</v>
      </c>
    </row>
    <row r="473" spans="1:8" ht="15.75" x14ac:dyDescent="0.2">
      <c r="A473" s="28">
        <v>2023</v>
      </c>
      <c r="B473" s="6" t="s">
        <v>3</v>
      </c>
      <c r="C473" s="49" t="s">
        <v>7</v>
      </c>
      <c r="D473" s="51" t="s">
        <v>60</v>
      </c>
      <c r="E473" s="86">
        <v>1.7</v>
      </c>
    </row>
    <row r="474" spans="1:8" ht="15.75" x14ac:dyDescent="0.2">
      <c r="A474" s="28">
        <v>2023</v>
      </c>
      <c r="B474" s="6" t="s">
        <v>3</v>
      </c>
      <c r="C474" s="48" t="s">
        <v>8</v>
      </c>
      <c r="D474" s="51" t="s">
        <v>59</v>
      </c>
      <c r="E474" s="85">
        <v>111.7</v>
      </c>
      <c r="F474" s="54">
        <f t="shared" si="7"/>
        <v>30.189189189189189</v>
      </c>
    </row>
    <row r="475" spans="1:8" ht="15.75" x14ac:dyDescent="0.2">
      <c r="A475" s="28">
        <v>2023</v>
      </c>
      <c r="B475" s="6" t="s">
        <v>3</v>
      </c>
      <c r="C475" s="48" t="s">
        <v>8</v>
      </c>
      <c r="D475" s="51" t="s">
        <v>60</v>
      </c>
      <c r="E475" s="85">
        <v>3.7</v>
      </c>
    </row>
    <row r="476" spans="1:8" ht="15.75" x14ac:dyDescent="0.2">
      <c r="A476" s="28">
        <v>2023</v>
      </c>
      <c r="B476" s="6" t="s">
        <v>3</v>
      </c>
      <c r="C476" s="49" t="s">
        <v>9</v>
      </c>
      <c r="D476" s="51" t="s">
        <v>59</v>
      </c>
      <c r="E476" s="86">
        <v>3.7</v>
      </c>
      <c r="F476" s="54">
        <f t="shared" si="7"/>
        <v>3.0833333333333335</v>
      </c>
    </row>
    <row r="477" spans="1:8" ht="15.75" x14ac:dyDescent="0.2">
      <c r="A477" s="28">
        <v>2023</v>
      </c>
      <c r="B477" s="6" t="s">
        <v>3</v>
      </c>
      <c r="C477" s="49" t="s">
        <v>9</v>
      </c>
      <c r="D477" s="51" t="s">
        <v>60</v>
      </c>
      <c r="E477" s="86">
        <v>1.2</v>
      </c>
    </row>
    <row r="478" spans="1:8" ht="15.75" x14ac:dyDescent="0.2">
      <c r="A478" s="28">
        <v>2023</v>
      </c>
      <c r="B478" s="6" t="s">
        <v>3</v>
      </c>
      <c r="C478" s="48" t="s">
        <v>10</v>
      </c>
      <c r="D478" s="51" t="s">
        <v>59</v>
      </c>
      <c r="E478" s="85">
        <v>547.29999999999995</v>
      </c>
      <c r="F478" s="54">
        <f t="shared" si="7"/>
        <v>51.149532710280376</v>
      </c>
      <c r="H478" s="50" t="s">
        <v>77</v>
      </c>
    </row>
    <row r="479" spans="1:8" ht="15.75" x14ac:dyDescent="0.2">
      <c r="A479" s="28">
        <v>2023</v>
      </c>
      <c r="B479" s="6" t="s">
        <v>3</v>
      </c>
      <c r="C479" s="48" t="s">
        <v>10</v>
      </c>
      <c r="D479" s="51" t="s">
        <v>60</v>
      </c>
      <c r="E479" s="85">
        <v>10.7</v>
      </c>
    </row>
    <row r="480" spans="1:8" ht="15.75" x14ac:dyDescent="0.2">
      <c r="A480" s="28">
        <v>2023</v>
      </c>
      <c r="B480" s="6" t="s">
        <v>15</v>
      </c>
      <c r="C480" s="48" t="s">
        <v>58</v>
      </c>
      <c r="D480" s="51" t="s">
        <v>59</v>
      </c>
      <c r="E480" s="85">
        <v>295.39999999999998</v>
      </c>
      <c r="F480" s="54">
        <f t="shared" si="7"/>
        <v>9.7491749174917484</v>
      </c>
    </row>
    <row r="481" spans="1:8" ht="15.75" x14ac:dyDescent="0.2">
      <c r="A481" s="28">
        <v>2023</v>
      </c>
      <c r="B481" s="6" t="s">
        <v>15</v>
      </c>
      <c r="C481" s="48" t="s">
        <v>58</v>
      </c>
      <c r="D481" s="51" t="s">
        <v>60</v>
      </c>
      <c r="E481" s="85">
        <v>30.3</v>
      </c>
    </row>
    <row r="482" spans="1:8" ht="15.75" x14ac:dyDescent="0.2">
      <c r="A482" s="28">
        <v>2023</v>
      </c>
      <c r="B482" s="6" t="s">
        <v>15</v>
      </c>
      <c r="C482" s="49" t="s">
        <v>5</v>
      </c>
      <c r="D482" s="51" t="s">
        <v>59</v>
      </c>
      <c r="E482" s="86">
        <v>585.4</v>
      </c>
      <c r="F482" s="54">
        <f t="shared" si="7"/>
        <v>19.068403908794789</v>
      </c>
    </row>
    <row r="483" spans="1:8" ht="15.75" x14ac:dyDescent="0.2">
      <c r="A483" s="28">
        <v>2023</v>
      </c>
      <c r="B483" s="6" t="s">
        <v>15</v>
      </c>
      <c r="C483" s="49" t="s">
        <v>5</v>
      </c>
      <c r="D483" s="51" t="s">
        <v>60</v>
      </c>
      <c r="E483" s="86">
        <v>30.7</v>
      </c>
    </row>
    <row r="484" spans="1:8" ht="15.75" x14ac:dyDescent="0.2">
      <c r="A484" s="28">
        <v>2023</v>
      </c>
      <c r="B484" s="6" t="s">
        <v>15</v>
      </c>
      <c r="C484" s="48" t="s">
        <v>6</v>
      </c>
      <c r="D484" s="51" t="s">
        <v>59</v>
      </c>
      <c r="E484" s="85">
        <v>880.8</v>
      </c>
      <c r="F484" s="54">
        <f t="shared" si="7"/>
        <v>25.310344827586206</v>
      </c>
    </row>
    <row r="485" spans="1:8" ht="15.75" x14ac:dyDescent="0.2">
      <c r="A485" s="28">
        <v>2023</v>
      </c>
      <c r="B485" s="6" t="s">
        <v>15</v>
      </c>
      <c r="C485" s="48" t="s">
        <v>6</v>
      </c>
      <c r="D485" s="51" t="s">
        <v>60</v>
      </c>
      <c r="E485" s="85">
        <v>34.799999999999997</v>
      </c>
    </row>
    <row r="486" spans="1:8" ht="15.75" x14ac:dyDescent="0.2">
      <c r="A486" s="28">
        <v>2023</v>
      </c>
      <c r="B486" s="6" t="s">
        <v>15</v>
      </c>
      <c r="C486" s="49" t="s">
        <v>7</v>
      </c>
      <c r="D486" s="51" t="s">
        <v>59</v>
      </c>
      <c r="E486" s="86">
        <v>101.9</v>
      </c>
      <c r="F486" s="54">
        <f t="shared" si="7"/>
        <v>59.941176470588239</v>
      </c>
      <c r="H486" s="50" t="s">
        <v>77</v>
      </c>
    </row>
    <row r="487" spans="1:8" ht="15.75" x14ac:dyDescent="0.2">
      <c r="A487" s="28">
        <v>2023</v>
      </c>
      <c r="B487" s="6" t="s">
        <v>15</v>
      </c>
      <c r="C487" s="49" t="s">
        <v>7</v>
      </c>
      <c r="D487" s="51" t="s">
        <v>60</v>
      </c>
      <c r="E487" s="86">
        <v>1.7</v>
      </c>
    </row>
    <row r="488" spans="1:8" ht="15.75" x14ac:dyDescent="0.2">
      <c r="A488" s="28">
        <v>2023</v>
      </c>
      <c r="B488" s="6" t="s">
        <v>15</v>
      </c>
      <c r="C488" s="48" t="s">
        <v>8</v>
      </c>
      <c r="D488" s="51" t="s">
        <v>59</v>
      </c>
      <c r="E488" s="85">
        <v>111.3</v>
      </c>
      <c r="F488" s="54">
        <f t="shared" si="7"/>
        <v>30.081081081081077</v>
      </c>
    </row>
    <row r="489" spans="1:8" ht="15.75" x14ac:dyDescent="0.2">
      <c r="A489" s="28">
        <v>2023</v>
      </c>
      <c r="B489" s="6" t="s">
        <v>15</v>
      </c>
      <c r="C489" s="48" t="s">
        <v>8</v>
      </c>
      <c r="D489" s="51" t="s">
        <v>60</v>
      </c>
      <c r="E489" s="85">
        <v>3.7</v>
      </c>
    </row>
    <row r="490" spans="1:8" ht="15.75" x14ac:dyDescent="0.2">
      <c r="A490" s="28">
        <v>2023</v>
      </c>
      <c r="B490" s="6" t="s">
        <v>15</v>
      </c>
      <c r="C490" s="49" t="s">
        <v>9</v>
      </c>
      <c r="D490" s="51" t="s">
        <v>59</v>
      </c>
      <c r="E490" s="86">
        <v>3.7</v>
      </c>
      <c r="F490" s="54">
        <f t="shared" si="7"/>
        <v>3.0833333333333335</v>
      </c>
    </row>
    <row r="491" spans="1:8" ht="15.75" x14ac:dyDescent="0.2">
      <c r="A491" s="28">
        <v>2023</v>
      </c>
      <c r="B491" s="6" t="s">
        <v>15</v>
      </c>
      <c r="C491" s="49" t="s">
        <v>9</v>
      </c>
      <c r="D491" s="51" t="s">
        <v>60</v>
      </c>
      <c r="E491" s="86">
        <v>1.2</v>
      </c>
    </row>
    <row r="492" spans="1:8" ht="15.75" x14ac:dyDescent="0.2">
      <c r="A492" s="28">
        <v>2023</v>
      </c>
      <c r="B492" s="6" t="s">
        <v>15</v>
      </c>
      <c r="C492" s="48" t="s">
        <v>10</v>
      </c>
      <c r="D492" s="51" t="s">
        <v>59</v>
      </c>
      <c r="E492" s="85">
        <v>536.20000000000005</v>
      </c>
      <c r="F492" s="54">
        <f t="shared" si="7"/>
        <v>51.06666666666667</v>
      </c>
      <c r="H492" s="50" t="s">
        <v>77</v>
      </c>
    </row>
    <row r="493" spans="1:8" ht="15.75" x14ac:dyDescent="0.2">
      <c r="A493" s="28">
        <v>2023</v>
      </c>
      <c r="B493" s="6" t="s">
        <v>15</v>
      </c>
      <c r="C493" s="48" t="s">
        <v>10</v>
      </c>
      <c r="D493" s="51" t="s">
        <v>60</v>
      </c>
      <c r="E493" s="85">
        <v>10.5</v>
      </c>
    </row>
    <row r="494" spans="1:8" ht="15.75" x14ac:dyDescent="0.2">
      <c r="A494" s="28">
        <v>2023</v>
      </c>
      <c r="B494" s="6" t="s">
        <v>16</v>
      </c>
      <c r="C494" s="48" t="s">
        <v>58</v>
      </c>
      <c r="D494" s="51" t="s">
        <v>59</v>
      </c>
      <c r="E494" s="85">
        <v>295.60000000000002</v>
      </c>
      <c r="F494" s="54">
        <f t="shared" si="7"/>
        <v>9.6601307189542478</v>
      </c>
    </row>
    <row r="495" spans="1:8" ht="15.75" x14ac:dyDescent="0.2">
      <c r="A495" s="28">
        <v>2023</v>
      </c>
      <c r="B495" s="6" t="s">
        <v>16</v>
      </c>
      <c r="C495" s="48" t="s">
        <v>58</v>
      </c>
      <c r="D495" s="51" t="s">
        <v>60</v>
      </c>
      <c r="E495" s="85">
        <v>30.6</v>
      </c>
    </row>
    <row r="496" spans="1:8" ht="15.75" x14ac:dyDescent="0.2">
      <c r="A496" s="28">
        <v>2023</v>
      </c>
      <c r="B496" s="6" t="s">
        <v>16</v>
      </c>
      <c r="C496" s="49" t="s">
        <v>5</v>
      </c>
      <c r="D496" s="51" t="s">
        <v>59</v>
      </c>
      <c r="E496" s="86">
        <v>588.5</v>
      </c>
      <c r="F496" s="54">
        <f t="shared" si="7"/>
        <v>18.922829581993568</v>
      </c>
    </row>
    <row r="497" spans="1:8" ht="15.75" x14ac:dyDescent="0.2">
      <c r="A497" s="28">
        <v>2023</v>
      </c>
      <c r="B497" s="6" t="s">
        <v>16</v>
      </c>
      <c r="C497" s="49" t="s">
        <v>5</v>
      </c>
      <c r="D497" s="51" t="s">
        <v>60</v>
      </c>
      <c r="E497" s="86">
        <v>31.1</v>
      </c>
    </row>
    <row r="498" spans="1:8" ht="15.75" x14ac:dyDescent="0.2">
      <c r="A498" s="28">
        <v>2023</v>
      </c>
      <c r="B498" s="6" t="s">
        <v>16</v>
      </c>
      <c r="C498" s="48" t="s">
        <v>6</v>
      </c>
      <c r="D498" s="51" t="s">
        <v>59</v>
      </c>
      <c r="E498" s="85">
        <v>884.1</v>
      </c>
      <c r="F498" s="54">
        <f t="shared" si="7"/>
        <v>25.11647727272727</v>
      </c>
    </row>
    <row r="499" spans="1:8" ht="15.75" x14ac:dyDescent="0.2">
      <c r="A499" s="28">
        <v>2023</v>
      </c>
      <c r="B499" s="6" t="s">
        <v>16</v>
      </c>
      <c r="C499" s="48" t="s">
        <v>6</v>
      </c>
      <c r="D499" s="51" t="s">
        <v>60</v>
      </c>
      <c r="E499" s="85">
        <v>35.200000000000003</v>
      </c>
    </row>
    <row r="500" spans="1:8" ht="15.75" x14ac:dyDescent="0.2">
      <c r="A500" s="28">
        <v>2023</v>
      </c>
      <c r="B500" s="6" t="s">
        <v>16</v>
      </c>
      <c r="C500" s="49" t="s">
        <v>7</v>
      </c>
      <c r="D500" s="51" t="s">
        <v>59</v>
      </c>
      <c r="E500" s="86">
        <v>104</v>
      </c>
      <c r="F500" s="54">
        <f t="shared" si="7"/>
        <v>57.777777777777779</v>
      </c>
      <c r="H500" s="50" t="s">
        <v>77</v>
      </c>
    </row>
    <row r="501" spans="1:8" ht="15.75" x14ac:dyDescent="0.2">
      <c r="A501" s="28">
        <v>2023</v>
      </c>
      <c r="B501" s="6" t="s">
        <v>16</v>
      </c>
      <c r="C501" s="49" t="s">
        <v>7</v>
      </c>
      <c r="D501" s="51" t="s">
        <v>60</v>
      </c>
      <c r="E501" s="86">
        <v>1.8</v>
      </c>
    </row>
    <row r="502" spans="1:8" ht="15.75" x14ac:dyDescent="0.2">
      <c r="A502" s="28">
        <v>2023</v>
      </c>
      <c r="B502" s="6" t="s">
        <v>16</v>
      </c>
      <c r="C502" s="48" t="s">
        <v>8</v>
      </c>
      <c r="D502" s="51" t="s">
        <v>59</v>
      </c>
      <c r="E502" s="85">
        <v>112.2</v>
      </c>
      <c r="F502" s="54">
        <f t="shared" si="7"/>
        <v>29.526315789473685</v>
      </c>
    </row>
    <row r="503" spans="1:8" ht="15.75" x14ac:dyDescent="0.2">
      <c r="A503" s="28">
        <v>2023</v>
      </c>
      <c r="B503" s="6" t="s">
        <v>16</v>
      </c>
      <c r="C503" s="48" t="s">
        <v>8</v>
      </c>
      <c r="D503" s="51" t="s">
        <v>60</v>
      </c>
      <c r="E503" s="85">
        <v>3.8</v>
      </c>
    </row>
    <row r="504" spans="1:8" ht="15.75" x14ac:dyDescent="0.2">
      <c r="A504" s="28">
        <v>2023</v>
      </c>
      <c r="B504" s="6" t="s">
        <v>16</v>
      </c>
      <c r="C504" s="49" t="s">
        <v>9</v>
      </c>
      <c r="D504" s="51" t="s">
        <v>59</v>
      </c>
      <c r="E504" s="86">
        <v>3.6</v>
      </c>
      <c r="F504" s="54">
        <f t="shared" si="7"/>
        <v>3</v>
      </c>
    </row>
    <row r="505" spans="1:8" ht="15.75" x14ac:dyDescent="0.2">
      <c r="A505" s="28">
        <v>2023</v>
      </c>
      <c r="B505" s="6" t="s">
        <v>16</v>
      </c>
      <c r="C505" s="49" t="s">
        <v>9</v>
      </c>
      <c r="D505" s="51" t="s">
        <v>60</v>
      </c>
      <c r="E505" s="86">
        <v>1.2</v>
      </c>
    </row>
    <row r="506" spans="1:8" ht="15.75" x14ac:dyDescent="0.2">
      <c r="A506" s="28">
        <v>2023</v>
      </c>
      <c r="B506" s="6" t="s">
        <v>16</v>
      </c>
      <c r="C506" s="48" t="s">
        <v>10</v>
      </c>
      <c r="D506" s="51" t="s">
        <v>59</v>
      </c>
      <c r="E506" s="85">
        <v>498.3</v>
      </c>
      <c r="F506" s="54">
        <f t="shared" si="7"/>
        <v>50.846938775510203</v>
      </c>
      <c r="H506" s="50" t="s">
        <v>77</v>
      </c>
    </row>
    <row r="507" spans="1:8" ht="15.75" x14ac:dyDescent="0.2">
      <c r="A507" s="28">
        <v>2023</v>
      </c>
      <c r="B507" s="6" t="s">
        <v>16</v>
      </c>
      <c r="C507" s="48" t="s">
        <v>10</v>
      </c>
      <c r="D507" s="51" t="s">
        <v>60</v>
      </c>
      <c r="E507" s="85">
        <v>9.8000000000000007</v>
      </c>
    </row>
    <row r="508" spans="1:8" ht="15.75" x14ac:dyDescent="0.2">
      <c r="A508" s="28">
        <v>2024</v>
      </c>
      <c r="B508" s="6" t="s">
        <v>18</v>
      </c>
      <c r="C508" s="48" t="s">
        <v>58</v>
      </c>
      <c r="D508" s="51" t="s">
        <v>59</v>
      </c>
      <c r="E508" s="85">
        <v>293.3</v>
      </c>
      <c r="F508" s="54">
        <f t="shared" si="7"/>
        <v>9.616393442622952</v>
      </c>
    </row>
    <row r="509" spans="1:8" ht="15.75" x14ac:dyDescent="0.2">
      <c r="A509" s="28">
        <v>2024</v>
      </c>
      <c r="B509" s="6" t="s">
        <v>18</v>
      </c>
      <c r="C509" s="48" t="s">
        <v>58</v>
      </c>
      <c r="D509" s="51" t="s">
        <v>60</v>
      </c>
      <c r="E509" s="85">
        <v>30.5</v>
      </c>
    </row>
    <row r="510" spans="1:8" ht="15.75" x14ac:dyDescent="0.2">
      <c r="A510" s="28">
        <v>2024</v>
      </c>
      <c r="B510" s="6" t="s">
        <v>18</v>
      </c>
      <c r="C510" s="49" t="s">
        <v>5</v>
      </c>
      <c r="D510" s="51" t="s">
        <v>59</v>
      </c>
      <c r="E510" s="86">
        <v>585.20000000000005</v>
      </c>
      <c r="F510" s="54">
        <f t="shared" si="7"/>
        <v>18.877419354838711</v>
      </c>
    </row>
    <row r="511" spans="1:8" ht="15.75" x14ac:dyDescent="0.2">
      <c r="A511" s="28">
        <v>2024</v>
      </c>
      <c r="B511" s="6" t="s">
        <v>18</v>
      </c>
      <c r="C511" s="49" t="s">
        <v>5</v>
      </c>
      <c r="D511" s="51" t="s">
        <v>60</v>
      </c>
      <c r="E511" s="86">
        <v>31</v>
      </c>
    </row>
    <row r="512" spans="1:8" ht="15.75" x14ac:dyDescent="0.2">
      <c r="A512" s="28">
        <v>2024</v>
      </c>
      <c r="B512" s="6" t="s">
        <v>18</v>
      </c>
      <c r="C512" s="48" t="s">
        <v>6</v>
      </c>
      <c r="D512" s="51" t="s">
        <v>59</v>
      </c>
      <c r="E512" s="85">
        <v>878.5</v>
      </c>
      <c r="F512" s="54">
        <f t="shared" si="7"/>
        <v>25.028490028490026</v>
      </c>
    </row>
    <row r="513" spans="1:8" ht="15.75" x14ac:dyDescent="0.2">
      <c r="A513" s="28">
        <v>2024</v>
      </c>
      <c r="B513" s="6" t="s">
        <v>18</v>
      </c>
      <c r="C513" s="48" t="s">
        <v>6</v>
      </c>
      <c r="D513" s="51" t="s">
        <v>60</v>
      </c>
      <c r="E513" s="85">
        <v>35.1</v>
      </c>
    </row>
    <row r="514" spans="1:8" ht="15.75" x14ac:dyDescent="0.2">
      <c r="A514" s="28">
        <v>2024</v>
      </c>
      <c r="B514" s="6" t="s">
        <v>18</v>
      </c>
      <c r="C514" s="49" t="s">
        <v>7</v>
      </c>
      <c r="D514" s="51" t="s">
        <v>59</v>
      </c>
      <c r="E514" s="86">
        <v>103.4</v>
      </c>
      <c r="F514" s="54">
        <f t="shared" si="7"/>
        <v>57.444444444444443</v>
      </c>
      <c r="H514" s="50" t="s">
        <v>77</v>
      </c>
    </row>
    <row r="515" spans="1:8" ht="15.75" x14ac:dyDescent="0.2">
      <c r="A515" s="28">
        <v>2024</v>
      </c>
      <c r="B515" s="6" t="s">
        <v>18</v>
      </c>
      <c r="C515" s="49" t="s">
        <v>7</v>
      </c>
      <c r="D515" s="51" t="s">
        <v>60</v>
      </c>
      <c r="E515" s="86">
        <v>1.8</v>
      </c>
    </row>
    <row r="516" spans="1:8" ht="15.75" x14ac:dyDescent="0.2">
      <c r="A516" s="28">
        <v>2024</v>
      </c>
      <c r="B516" s="6" t="s">
        <v>18</v>
      </c>
      <c r="C516" s="48" t="s">
        <v>8</v>
      </c>
      <c r="D516" s="51" t="s">
        <v>59</v>
      </c>
      <c r="E516" s="85">
        <v>107.2</v>
      </c>
      <c r="F516" s="54">
        <f t="shared" ref="F516:F562" si="8">E516/E517</f>
        <v>28.972972972972972</v>
      </c>
    </row>
    <row r="517" spans="1:8" ht="15.75" x14ac:dyDescent="0.2">
      <c r="A517" s="28">
        <v>2024</v>
      </c>
      <c r="B517" s="6" t="s">
        <v>18</v>
      </c>
      <c r="C517" s="48" t="s">
        <v>8</v>
      </c>
      <c r="D517" s="51" t="s">
        <v>60</v>
      </c>
      <c r="E517" s="85">
        <v>3.7</v>
      </c>
    </row>
    <row r="518" spans="1:8" ht="15.75" x14ac:dyDescent="0.2">
      <c r="A518" s="28">
        <v>2024</v>
      </c>
      <c r="B518" s="6" t="s">
        <v>18</v>
      </c>
      <c r="C518" s="49" t="s">
        <v>9</v>
      </c>
      <c r="D518" s="51" t="s">
        <v>59</v>
      </c>
      <c r="E518" s="86">
        <v>3.5</v>
      </c>
      <c r="F518" s="54">
        <f t="shared" si="8"/>
        <v>3.1818181818181817</v>
      </c>
    </row>
    <row r="519" spans="1:8" ht="15.75" x14ac:dyDescent="0.2">
      <c r="A519" s="28">
        <v>2024</v>
      </c>
      <c r="B519" s="6" t="s">
        <v>18</v>
      </c>
      <c r="C519" s="49" t="s">
        <v>9</v>
      </c>
      <c r="D519" s="51" t="s">
        <v>60</v>
      </c>
      <c r="E519" s="86">
        <v>1.1000000000000001</v>
      </c>
    </row>
    <row r="520" spans="1:8" ht="15.75" x14ac:dyDescent="0.2">
      <c r="A520" s="28">
        <v>2024</v>
      </c>
      <c r="B520" s="6" t="s">
        <v>18</v>
      </c>
      <c r="C520" s="48" t="s">
        <v>10</v>
      </c>
      <c r="D520" s="51" t="s">
        <v>59</v>
      </c>
      <c r="E520" s="85">
        <v>505.9</v>
      </c>
      <c r="F520" s="54">
        <f t="shared" si="8"/>
        <v>51.62244897959183</v>
      </c>
      <c r="H520" s="50" t="s">
        <v>77</v>
      </c>
    </row>
    <row r="521" spans="1:8" ht="15.75" x14ac:dyDescent="0.2">
      <c r="A521" s="28">
        <v>2024</v>
      </c>
      <c r="B521" s="6" t="s">
        <v>18</v>
      </c>
      <c r="C521" s="48" t="s">
        <v>10</v>
      </c>
      <c r="D521" s="51" t="s">
        <v>60</v>
      </c>
      <c r="E521" s="85">
        <v>9.8000000000000007</v>
      </c>
    </row>
    <row r="522" spans="1:8" ht="15.75" x14ac:dyDescent="0.2">
      <c r="A522" s="28">
        <v>2024</v>
      </c>
      <c r="B522" s="6" t="s">
        <v>3</v>
      </c>
      <c r="C522" s="48" t="s">
        <v>58</v>
      </c>
      <c r="D522" s="51" t="s">
        <v>59</v>
      </c>
      <c r="E522" s="85">
        <v>295.39999999999998</v>
      </c>
      <c r="F522" s="54">
        <f t="shared" si="8"/>
        <v>9.7814569536423832</v>
      </c>
    </row>
    <row r="523" spans="1:8" ht="15.75" x14ac:dyDescent="0.2">
      <c r="A523" s="28">
        <v>2024</v>
      </c>
      <c r="B523" s="6" t="s">
        <v>3</v>
      </c>
      <c r="C523" s="48" t="s">
        <v>58</v>
      </c>
      <c r="D523" s="51" t="s">
        <v>60</v>
      </c>
      <c r="E523" s="85">
        <v>30.2</v>
      </c>
    </row>
    <row r="524" spans="1:8" ht="15.75" x14ac:dyDescent="0.2">
      <c r="A524" s="28">
        <v>2024</v>
      </c>
      <c r="B524" s="6" t="s">
        <v>3</v>
      </c>
      <c r="C524" s="49" t="s">
        <v>5</v>
      </c>
      <c r="D524" s="51" t="s">
        <v>59</v>
      </c>
      <c r="E524" s="86">
        <v>594.9</v>
      </c>
      <c r="F524" s="54">
        <f t="shared" si="8"/>
        <v>19.377850162866448</v>
      </c>
    </row>
    <row r="525" spans="1:8" ht="15.75" x14ac:dyDescent="0.2">
      <c r="A525" s="28">
        <v>2024</v>
      </c>
      <c r="B525" s="6" t="s">
        <v>3</v>
      </c>
      <c r="C525" s="49" t="s">
        <v>5</v>
      </c>
      <c r="D525" s="51" t="s">
        <v>60</v>
      </c>
      <c r="E525" s="86">
        <v>30.7</v>
      </c>
    </row>
    <row r="526" spans="1:8" ht="15.75" x14ac:dyDescent="0.2">
      <c r="A526" s="28">
        <v>2024</v>
      </c>
      <c r="B526" s="6" t="s">
        <v>3</v>
      </c>
      <c r="C526" s="48" t="s">
        <v>6</v>
      </c>
      <c r="D526" s="51" t="s">
        <v>59</v>
      </c>
      <c r="E526" s="85">
        <v>890.3</v>
      </c>
      <c r="F526" s="54">
        <f t="shared" si="8"/>
        <v>25.583333333333336</v>
      </c>
    </row>
    <row r="527" spans="1:8" ht="15.75" x14ac:dyDescent="0.2">
      <c r="A527" s="28">
        <v>2024</v>
      </c>
      <c r="B527" s="6" t="s">
        <v>3</v>
      </c>
      <c r="C527" s="48" t="s">
        <v>6</v>
      </c>
      <c r="D527" s="51" t="s">
        <v>60</v>
      </c>
      <c r="E527" s="85">
        <v>34.799999999999997</v>
      </c>
    </row>
    <row r="528" spans="1:8" ht="15.75" x14ac:dyDescent="0.2">
      <c r="A528" s="28">
        <v>2024</v>
      </c>
      <c r="B528" s="6" t="s">
        <v>3</v>
      </c>
      <c r="C528" s="49" t="s">
        <v>7</v>
      </c>
      <c r="D528" s="51" t="s">
        <v>59</v>
      </c>
      <c r="E528" s="86">
        <v>107.5</v>
      </c>
      <c r="F528" s="54">
        <f t="shared" si="8"/>
        <v>59.722222222222221</v>
      </c>
      <c r="H528" s="50" t="s">
        <v>77</v>
      </c>
    </row>
    <row r="529" spans="1:8" ht="15.75" x14ac:dyDescent="0.2">
      <c r="A529" s="28">
        <v>2024</v>
      </c>
      <c r="B529" s="6" t="s">
        <v>3</v>
      </c>
      <c r="C529" s="49" t="s">
        <v>7</v>
      </c>
      <c r="D529" s="51" t="s">
        <v>60</v>
      </c>
      <c r="E529" s="86">
        <v>1.8</v>
      </c>
    </row>
    <row r="530" spans="1:8" ht="15.75" x14ac:dyDescent="0.2">
      <c r="A530" s="28">
        <v>2024</v>
      </c>
      <c r="B530" s="6" t="s">
        <v>3</v>
      </c>
      <c r="C530" s="48" t="s">
        <v>8</v>
      </c>
      <c r="D530" s="51" t="s">
        <v>59</v>
      </c>
      <c r="E530" s="85">
        <v>109.8</v>
      </c>
      <c r="F530" s="54">
        <f t="shared" si="8"/>
        <v>30.5</v>
      </c>
    </row>
    <row r="531" spans="1:8" ht="15.75" x14ac:dyDescent="0.2">
      <c r="A531" s="28">
        <v>2024</v>
      </c>
      <c r="B531" s="6" t="s">
        <v>3</v>
      </c>
      <c r="C531" s="48" t="s">
        <v>8</v>
      </c>
      <c r="D531" s="51" t="s">
        <v>60</v>
      </c>
      <c r="E531" s="85">
        <v>3.6</v>
      </c>
    </row>
    <row r="532" spans="1:8" ht="15.75" x14ac:dyDescent="0.2">
      <c r="A532" s="28">
        <v>2024</v>
      </c>
      <c r="B532" s="6" t="s">
        <v>3</v>
      </c>
      <c r="C532" s="49" t="s">
        <v>9</v>
      </c>
      <c r="D532" s="51" t="s">
        <v>59</v>
      </c>
      <c r="E532" s="86">
        <v>3.4</v>
      </c>
      <c r="F532" s="54">
        <f t="shared" si="8"/>
        <v>3.0909090909090904</v>
      </c>
    </row>
    <row r="533" spans="1:8" ht="15.75" x14ac:dyDescent="0.2">
      <c r="A533" s="28">
        <v>2024</v>
      </c>
      <c r="B533" s="6" t="s">
        <v>3</v>
      </c>
      <c r="C533" s="49" t="s">
        <v>9</v>
      </c>
      <c r="D533" s="51" t="s">
        <v>60</v>
      </c>
      <c r="E533" s="86">
        <v>1.1000000000000001</v>
      </c>
    </row>
    <row r="534" spans="1:8" ht="15.75" x14ac:dyDescent="0.2">
      <c r="A534" s="28">
        <v>2024</v>
      </c>
      <c r="B534" s="6" t="s">
        <v>3</v>
      </c>
      <c r="C534" s="48" t="s">
        <v>10</v>
      </c>
      <c r="D534" s="51" t="s">
        <v>59</v>
      </c>
      <c r="E534" s="85">
        <v>509.2</v>
      </c>
      <c r="F534" s="54">
        <f t="shared" si="8"/>
        <v>52.494845360824748</v>
      </c>
      <c r="H534" s="50" t="s">
        <v>77</v>
      </c>
    </row>
    <row r="535" spans="1:8" ht="15.75" x14ac:dyDescent="0.2">
      <c r="A535" s="28">
        <v>2024</v>
      </c>
      <c r="B535" s="6" t="s">
        <v>3</v>
      </c>
      <c r="C535" s="48" t="s">
        <v>10</v>
      </c>
      <c r="D535" s="51" t="s">
        <v>60</v>
      </c>
      <c r="E535" s="85">
        <v>9.6999999999999993</v>
      </c>
    </row>
    <row r="536" spans="1:8" ht="15.75" x14ac:dyDescent="0.2">
      <c r="A536" s="28">
        <v>2024</v>
      </c>
      <c r="B536" s="6" t="s">
        <v>15</v>
      </c>
      <c r="C536" s="48" t="s">
        <v>58</v>
      </c>
      <c r="D536" s="51" t="s">
        <v>59</v>
      </c>
      <c r="E536" s="85">
        <v>291.8</v>
      </c>
      <c r="F536" s="54">
        <f t="shared" si="8"/>
        <v>9.7919463087248317</v>
      </c>
    </row>
    <row r="537" spans="1:8" ht="15.75" x14ac:dyDescent="0.2">
      <c r="A537" s="28">
        <v>2024</v>
      </c>
      <c r="B537" s="6" t="s">
        <v>15</v>
      </c>
      <c r="C537" s="48" t="s">
        <v>58</v>
      </c>
      <c r="D537" s="51" t="s">
        <v>60</v>
      </c>
      <c r="E537" s="85">
        <v>29.8</v>
      </c>
    </row>
    <row r="538" spans="1:8" ht="15.75" x14ac:dyDescent="0.2">
      <c r="A538" s="28">
        <v>2024</v>
      </c>
      <c r="B538" s="6" t="s">
        <v>15</v>
      </c>
      <c r="C538" s="49" t="s">
        <v>5</v>
      </c>
      <c r="D538" s="51" t="s">
        <v>59</v>
      </c>
      <c r="E538" s="86">
        <v>590.79999999999995</v>
      </c>
      <c r="F538" s="54">
        <f t="shared" si="8"/>
        <v>19.434210526315788</v>
      </c>
    </row>
    <row r="539" spans="1:8" ht="15.75" x14ac:dyDescent="0.2">
      <c r="A539" s="28">
        <v>2024</v>
      </c>
      <c r="B539" s="6" t="s">
        <v>15</v>
      </c>
      <c r="C539" s="49" t="s">
        <v>5</v>
      </c>
      <c r="D539" s="51" t="s">
        <v>60</v>
      </c>
      <c r="E539" s="86">
        <v>30.4</v>
      </c>
    </row>
    <row r="540" spans="1:8" ht="15.75" x14ac:dyDescent="0.2">
      <c r="A540" s="28">
        <v>2024</v>
      </c>
      <c r="B540" s="6" t="s">
        <v>15</v>
      </c>
      <c r="C540" s="48" t="s">
        <v>6</v>
      </c>
      <c r="D540" s="51" t="s">
        <v>59</v>
      </c>
      <c r="E540" s="85">
        <v>882.6</v>
      </c>
      <c r="F540" s="54">
        <f t="shared" si="8"/>
        <v>25.65697674418605</v>
      </c>
    </row>
    <row r="541" spans="1:8" ht="15.75" x14ac:dyDescent="0.2">
      <c r="A541" s="28">
        <v>2024</v>
      </c>
      <c r="B541" s="6" t="s">
        <v>15</v>
      </c>
      <c r="C541" s="48" t="s">
        <v>6</v>
      </c>
      <c r="D541" s="51" t="s">
        <v>60</v>
      </c>
      <c r="E541" s="85">
        <v>34.4</v>
      </c>
    </row>
    <row r="542" spans="1:8" ht="15.75" x14ac:dyDescent="0.2">
      <c r="A542" s="28">
        <v>2024</v>
      </c>
      <c r="B542" s="6" t="s">
        <v>15</v>
      </c>
      <c r="C542" s="49" t="s">
        <v>7</v>
      </c>
      <c r="D542" s="51" t="s">
        <v>59</v>
      </c>
      <c r="E542" s="86">
        <v>107.7</v>
      </c>
      <c r="F542" s="54">
        <f t="shared" si="8"/>
        <v>63.352941176470594</v>
      </c>
      <c r="H542" s="50" t="s">
        <v>77</v>
      </c>
    </row>
    <row r="543" spans="1:8" ht="15.75" x14ac:dyDescent="0.2">
      <c r="A543" s="28">
        <v>2024</v>
      </c>
      <c r="B543" s="6" t="s">
        <v>15</v>
      </c>
      <c r="C543" s="49" t="s">
        <v>7</v>
      </c>
      <c r="D543" s="51" t="s">
        <v>60</v>
      </c>
      <c r="E543" s="86">
        <v>1.7</v>
      </c>
    </row>
    <row r="544" spans="1:8" ht="15.75" x14ac:dyDescent="0.2">
      <c r="A544" s="28">
        <v>2024</v>
      </c>
      <c r="B544" s="6" t="s">
        <v>15</v>
      </c>
      <c r="C544" s="48" t="s">
        <v>8</v>
      </c>
      <c r="D544" s="51" t="s">
        <v>59</v>
      </c>
      <c r="E544" s="85">
        <v>107.1</v>
      </c>
      <c r="F544" s="54">
        <f t="shared" si="8"/>
        <v>30.599999999999998</v>
      </c>
    </row>
    <row r="545" spans="1:8" ht="15.75" x14ac:dyDescent="0.2">
      <c r="A545" s="28">
        <v>2024</v>
      </c>
      <c r="B545" s="6" t="s">
        <v>15</v>
      </c>
      <c r="C545" s="48" t="s">
        <v>8</v>
      </c>
      <c r="D545" s="51" t="s">
        <v>60</v>
      </c>
      <c r="E545" s="85">
        <v>3.5</v>
      </c>
    </row>
    <row r="546" spans="1:8" ht="15.75" x14ac:dyDescent="0.2">
      <c r="A546" s="28">
        <v>2024</v>
      </c>
      <c r="B546" s="6" t="s">
        <v>15</v>
      </c>
      <c r="C546" s="49" t="s">
        <v>9</v>
      </c>
      <c r="D546" s="51" t="s">
        <v>59</v>
      </c>
      <c r="E546" s="86">
        <v>3.3</v>
      </c>
      <c r="F546" s="54">
        <f t="shared" si="8"/>
        <v>2.9999999999999996</v>
      </c>
    </row>
    <row r="547" spans="1:8" ht="15.75" x14ac:dyDescent="0.2">
      <c r="A547" s="28">
        <v>2024</v>
      </c>
      <c r="B547" s="6" t="s">
        <v>15</v>
      </c>
      <c r="C547" s="49" t="s">
        <v>9</v>
      </c>
      <c r="D547" s="51" t="s">
        <v>60</v>
      </c>
      <c r="E547" s="86">
        <v>1.1000000000000001</v>
      </c>
    </row>
    <row r="548" spans="1:8" ht="15.75" x14ac:dyDescent="0.2">
      <c r="A548" s="28">
        <v>2024</v>
      </c>
      <c r="B548" s="6" t="s">
        <v>15</v>
      </c>
      <c r="C548" s="48" t="s">
        <v>10</v>
      </c>
      <c r="D548" s="51" t="s">
        <v>59</v>
      </c>
      <c r="E548" s="85">
        <v>510.3</v>
      </c>
      <c r="F548" s="54">
        <f t="shared" si="8"/>
        <v>53.715789473684211</v>
      </c>
      <c r="H548" s="50" t="s">
        <v>77</v>
      </c>
    </row>
    <row r="549" spans="1:8" ht="15.75" x14ac:dyDescent="0.2">
      <c r="A549" s="28">
        <v>2024</v>
      </c>
      <c r="B549" s="6" t="s">
        <v>15</v>
      </c>
      <c r="C549" s="48" t="s">
        <v>10</v>
      </c>
      <c r="D549" s="51" t="s">
        <v>60</v>
      </c>
      <c r="E549" s="85">
        <v>9.5</v>
      </c>
    </row>
    <row r="550" spans="1:8" ht="15.75" x14ac:dyDescent="0.2">
      <c r="A550" s="28">
        <v>2024</v>
      </c>
      <c r="B550" s="6" t="s">
        <v>16</v>
      </c>
      <c r="C550" s="48" t="s">
        <v>58</v>
      </c>
      <c r="D550" s="51" t="s">
        <v>59</v>
      </c>
      <c r="E550" s="85">
        <v>294.39999999999998</v>
      </c>
      <c r="F550" s="54">
        <f t="shared" si="8"/>
        <v>9.7483443708609272</v>
      </c>
    </row>
    <row r="551" spans="1:8" ht="15.75" x14ac:dyDescent="0.2">
      <c r="A551" s="28">
        <v>2024</v>
      </c>
      <c r="B551" s="6" t="s">
        <v>16</v>
      </c>
      <c r="C551" s="48" t="s">
        <v>58</v>
      </c>
      <c r="D551" s="51" t="s">
        <v>60</v>
      </c>
      <c r="E551" s="85">
        <v>30.2</v>
      </c>
    </row>
    <row r="552" spans="1:8" ht="15.75" x14ac:dyDescent="0.2">
      <c r="A552" s="28">
        <v>2024</v>
      </c>
      <c r="B552" s="6" t="s">
        <v>16</v>
      </c>
      <c r="C552" s="49" t="s">
        <v>5</v>
      </c>
      <c r="D552" s="51" t="s">
        <v>59</v>
      </c>
      <c r="E552" s="86">
        <v>601.5</v>
      </c>
      <c r="F552" s="54">
        <f t="shared" si="8"/>
        <v>19.466019417475728</v>
      </c>
    </row>
    <row r="553" spans="1:8" ht="15.75" x14ac:dyDescent="0.2">
      <c r="A553" s="28">
        <v>2024</v>
      </c>
      <c r="B553" s="6" t="s">
        <v>16</v>
      </c>
      <c r="C553" s="49" t="s">
        <v>5</v>
      </c>
      <c r="D553" s="51" t="s">
        <v>60</v>
      </c>
      <c r="E553" s="86">
        <v>30.9</v>
      </c>
    </row>
    <row r="554" spans="1:8" ht="15.75" x14ac:dyDescent="0.2">
      <c r="A554" s="28">
        <v>2024</v>
      </c>
      <c r="B554" s="6" t="s">
        <v>16</v>
      </c>
      <c r="C554" s="48" t="s">
        <v>6</v>
      </c>
      <c r="D554" s="51" t="s">
        <v>59</v>
      </c>
      <c r="E554" s="85">
        <v>895.9</v>
      </c>
      <c r="F554" s="54">
        <f t="shared" si="8"/>
        <v>25.670487106017191</v>
      </c>
    </row>
    <row r="555" spans="1:8" ht="15.75" x14ac:dyDescent="0.2">
      <c r="A555" s="28">
        <v>2024</v>
      </c>
      <c r="B555" s="6" t="s">
        <v>16</v>
      </c>
      <c r="C555" s="48" t="s">
        <v>6</v>
      </c>
      <c r="D555" s="51" t="s">
        <v>60</v>
      </c>
      <c r="E555" s="85">
        <v>34.9</v>
      </c>
    </row>
    <row r="556" spans="1:8" ht="15.75" x14ac:dyDescent="0.2">
      <c r="A556" s="28">
        <v>2024</v>
      </c>
      <c r="B556" s="6" t="s">
        <v>16</v>
      </c>
      <c r="C556" s="49" t="s">
        <v>7</v>
      </c>
      <c r="D556" s="51" t="s">
        <v>59</v>
      </c>
      <c r="E556" s="86">
        <v>112.1</v>
      </c>
      <c r="F556" s="54">
        <f t="shared" si="8"/>
        <v>62.277777777777771</v>
      </c>
      <c r="H556" s="50" t="s">
        <v>77</v>
      </c>
    </row>
    <row r="557" spans="1:8" ht="15.75" x14ac:dyDescent="0.2">
      <c r="A557" s="28">
        <v>2024</v>
      </c>
      <c r="B557" s="6" t="s">
        <v>16</v>
      </c>
      <c r="C557" s="49" t="s">
        <v>7</v>
      </c>
      <c r="D557" s="51" t="s">
        <v>60</v>
      </c>
      <c r="E557" s="86">
        <v>1.8</v>
      </c>
    </row>
    <row r="558" spans="1:8" ht="15.75" x14ac:dyDescent="0.2">
      <c r="A558" s="28">
        <v>2024</v>
      </c>
      <c r="B558" s="6" t="s">
        <v>16</v>
      </c>
      <c r="C558" s="48" t="s">
        <v>8</v>
      </c>
      <c r="D558" s="51" t="s">
        <v>59</v>
      </c>
      <c r="E558" s="85">
        <v>110.3</v>
      </c>
      <c r="F558" s="54">
        <f t="shared" si="8"/>
        <v>30.638888888888886</v>
      </c>
    </row>
    <row r="559" spans="1:8" ht="15.75" x14ac:dyDescent="0.2">
      <c r="A559" s="28">
        <v>2024</v>
      </c>
      <c r="B559" s="6" t="s">
        <v>16</v>
      </c>
      <c r="C559" s="48" t="s">
        <v>8</v>
      </c>
      <c r="D559" s="51" t="s">
        <v>60</v>
      </c>
      <c r="E559" s="85">
        <v>3.6</v>
      </c>
    </row>
    <row r="560" spans="1:8" ht="15.75" x14ac:dyDescent="0.2">
      <c r="A560" s="28">
        <v>2024</v>
      </c>
      <c r="B560" s="6" t="s">
        <v>16</v>
      </c>
      <c r="C560" s="49" t="s">
        <v>9</v>
      </c>
      <c r="D560" s="51" t="s">
        <v>59</v>
      </c>
      <c r="E560" s="86">
        <v>3.2</v>
      </c>
      <c r="F560" s="54">
        <f t="shared" si="8"/>
        <v>3.2</v>
      </c>
    </row>
    <row r="561" spans="1:8" ht="15.75" x14ac:dyDescent="0.2">
      <c r="A561" s="28">
        <v>2024</v>
      </c>
      <c r="B561" s="6" t="s">
        <v>16</v>
      </c>
      <c r="C561" s="49" t="s">
        <v>9</v>
      </c>
      <c r="D561" s="51" t="s">
        <v>60</v>
      </c>
      <c r="E561" s="86">
        <v>1</v>
      </c>
    </row>
    <row r="562" spans="1:8" ht="15.75" x14ac:dyDescent="0.2">
      <c r="A562" s="28">
        <v>2024</v>
      </c>
      <c r="B562" s="6" t="s">
        <v>16</v>
      </c>
      <c r="C562" s="48" t="s">
        <v>10</v>
      </c>
      <c r="D562" s="51" t="s">
        <v>59</v>
      </c>
      <c r="E562" s="85">
        <v>517.20000000000005</v>
      </c>
      <c r="F562" s="54">
        <f t="shared" si="8"/>
        <v>54.442105263157899</v>
      </c>
      <c r="H562" s="50" t="s">
        <v>77</v>
      </c>
    </row>
    <row r="563" spans="1:8" ht="15.75" x14ac:dyDescent="0.2">
      <c r="A563" s="28">
        <v>2024</v>
      </c>
      <c r="B563" s="6" t="s">
        <v>16</v>
      </c>
      <c r="C563" s="48" t="s">
        <v>10</v>
      </c>
      <c r="D563" s="111" t="s">
        <v>60</v>
      </c>
      <c r="E563" s="85">
        <v>9.5</v>
      </c>
      <c r="F563" s="112"/>
    </row>
  </sheetData>
  <phoneticPr fontId="12" type="noConversion"/>
  <conditionalFormatting sqref="F4:I8 F9:H9 F10:I93 F94:G94 I94 F95:I135 F136:G136 I136 F137:I149 F150:G150 I150 F151:I191 F192:G192 I192 F193:I205 F206:G206 I206 F207:I219 F220:G220 I220 F221:I247 F248:G248 I248 F249:I261 F262:G262 I262 F263:I275 F276:G276 I276 F277:I289 F290:G290 I290 F291:I303 F304:G304 I304 F305:I317 F318:G318 I318 F319:I331 F332:G332 I332 F333:I345 F346:G346 I346 F347:I359 F360:G360 I360 F361:I373 F374:G374 I374 F375:I387 F388:G388 I388 F389:I401 F402:G402 I402 F403:I415 F416:G416 I416 F417:I429 F430:G430 I430 F431:I435 F436:G436 I436 F437:I443 F444:G444 I444 F445:I449 F450:G450 I450 F451:I457 F458:G458 I458 F459:I463 F464:G464 I464 F465:I471 F472:G472 I472 F473:I477 F478:G478 I478 F479:I485 F486:G486 I486 F487:I491 F492:G492 I492 F493:I499 F500:G500 I500 F501:I505 F506:G506 I506 F507:I513 F514:G514 I514 F515:I519 F520:G520 I520 F521:I527 F528:G528 I528 F529:I533 F534:G534 I534 F535:I541 F542:G542 I542 F543:I547 F548:G548 I548 F549:I555 F556:G556 I556 F557:I561 F562:G562 I562 F563:I563">
    <cfRule type="cellIs" dxfId="12" priority="1" stopIfTrue="1" operator="greaterThan">
      <formula>50</formula>
    </cfRule>
  </conditionalFormatting>
  <dataValidations count="1">
    <dataValidation type="list" allowBlank="1" showInputMessage="1" showErrorMessage="1" sqref="H4" xr:uid="{0B40CC61-C6E9-4072-933A-E431E24E87ED}">
      <formula1>"2015,2016,2017,2018,2019,2020,2021,2022,2023,2024"</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5889C-4E50-4B2E-8A09-AEFB000AC804}">
  <dimension ref="A1:K95"/>
  <sheetViews>
    <sheetView topLeftCell="A137" workbookViewId="0">
      <selection activeCell="A95" sqref="A95"/>
    </sheetView>
  </sheetViews>
  <sheetFormatPr defaultRowHeight="12.75" x14ac:dyDescent="0.2"/>
  <cols>
    <col min="2" max="2" width="21.42578125" bestFit="1" customWidth="1"/>
    <col min="3" max="3" width="29.140625" bestFit="1" customWidth="1"/>
    <col min="4" max="10" width="19.28515625" bestFit="1" customWidth="1"/>
    <col min="11" max="11" width="10.5703125" bestFit="1" customWidth="1"/>
    <col min="12" max="12" width="16.5703125" bestFit="1" customWidth="1"/>
    <col min="13" max="14" width="26.85546875" bestFit="1" customWidth="1"/>
    <col min="15" max="15" width="11.85546875" bestFit="1" customWidth="1"/>
    <col min="16" max="17" width="26.85546875" bestFit="1" customWidth="1"/>
    <col min="18" max="18" width="22.28515625" bestFit="1" customWidth="1"/>
    <col min="19" max="20" width="26.85546875" bestFit="1" customWidth="1"/>
    <col min="21" max="21" width="22.5703125" bestFit="1" customWidth="1"/>
    <col min="22" max="23" width="26.85546875" bestFit="1" customWidth="1"/>
    <col min="24" max="24" width="24" bestFit="1" customWidth="1"/>
    <col min="25" max="25" width="10.5703125" bestFit="1" customWidth="1"/>
  </cols>
  <sheetData>
    <row r="1" spans="1:11" x14ac:dyDescent="0.2">
      <c r="A1" s="50" t="s">
        <v>62</v>
      </c>
    </row>
    <row r="3" spans="1:11" x14ac:dyDescent="0.2">
      <c r="A3" s="50"/>
      <c r="B3" s="107" t="s">
        <v>57</v>
      </c>
      <c r="C3" s="103" t="s">
        <v>59</v>
      </c>
    </row>
    <row r="5" spans="1:11" x14ac:dyDescent="0.2">
      <c r="B5" s="74" t="s">
        <v>63</v>
      </c>
      <c r="C5" s="108"/>
      <c r="D5" s="104" t="s">
        <v>19</v>
      </c>
      <c r="E5" s="70"/>
      <c r="F5" s="70"/>
      <c r="G5" s="70"/>
      <c r="H5" s="70"/>
      <c r="I5" s="70"/>
      <c r="J5" s="70"/>
      <c r="K5" s="71"/>
    </row>
    <row r="6" spans="1:11" x14ac:dyDescent="0.2">
      <c r="B6" s="104" t="s">
        <v>20</v>
      </c>
      <c r="C6" s="104" t="s">
        <v>22</v>
      </c>
      <c r="D6" s="104" t="s">
        <v>10</v>
      </c>
      <c r="E6" s="105" t="s">
        <v>7</v>
      </c>
      <c r="F6" s="105" t="s">
        <v>8</v>
      </c>
      <c r="G6" s="105" t="s">
        <v>9</v>
      </c>
      <c r="H6" s="105" t="s">
        <v>6</v>
      </c>
      <c r="I6" s="105" t="s">
        <v>58</v>
      </c>
      <c r="J6" s="105" t="s">
        <v>5</v>
      </c>
      <c r="K6" s="106" t="s">
        <v>37</v>
      </c>
    </row>
    <row r="7" spans="1:11" x14ac:dyDescent="0.2">
      <c r="B7" s="69">
        <v>2015</v>
      </c>
      <c r="C7" s="69" t="s">
        <v>18</v>
      </c>
      <c r="D7" s="95">
        <v>394.9</v>
      </c>
      <c r="E7" s="96">
        <v>40.9</v>
      </c>
      <c r="F7" s="96">
        <v>65.099999999999994</v>
      </c>
      <c r="G7" s="96">
        <v>8.1999999999999993</v>
      </c>
      <c r="H7" s="96">
        <v>630.9</v>
      </c>
      <c r="I7" s="96">
        <v>258</v>
      </c>
      <c r="J7" s="96">
        <v>373</v>
      </c>
      <c r="K7" s="97">
        <v>1771</v>
      </c>
    </row>
    <row r="8" spans="1:11" x14ac:dyDescent="0.2">
      <c r="B8" s="109"/>
      <c r="C8" s="73" t="s">
        <v>3</v>
      </c>
      <c r="D8" s="98">
        <v>402.8</v>
      </c>
      <c r="E8" s="54">
        <v>43.4</v>
      </c>
      <c r="F8" s="54">
        <v>68.7</v>
      </c>
      <c r="G8" s="54">
        <v>8.3000000000000007</v>
      </c>
      <c r="H8" s="54">
        <v>651.29999999999995</v>
      </c>
      <c r="I8" s="54">
        <v>262.89999999999998</v>
      </c>
      <c r="J8" s="54">
        <v>388.4</v>
      </c>
      <c r="K8" s="99">
        <v>1825.8000000000002</v>
      </c>
    </row>
    <row r="9" spans="1:11" x14ac:dyDescent="0.2">
      <c r="B9" s="109"/>
      <c r="C9" s="73" t="s">
        <v>15</v>
      </c>
      <c r="D9" s="98">
        <v>410.3</v>
      </c>
      <c r="E9" s="54">
        <v>44.1</v>
      </c>
      <c r="F9" s="54">
        <v>68</v>
      </c>
      <c r="G9" s="54">
        <v>8.1999999999999993</v>
      </c>
      <c r="H9" s="54">
        <v>651.6</v>
      </c>
      <c r="I9" s="54">
        <v>260.7</v>
      </c>
      <c r="J9" s="54">
        <v>390.8</v>
      </c>
      <c r="K9" s="99">
        <v>1833.7000000000003</v>
      </c>
    </row>
    <row r="10" spans="1:11" x14ac:dyDescent="0.2">
      <c r="B10" s="109"/>
      <c r="C10" s="73" t="s">
        <v>16</v>
      </c>
      <c r="D10" s="98">
        <v>416.7</v>
      </c>
      <c r="E10" s="54">
        <v>46.8</v>
      </c>
      <c r="F10" s="54">
        <v>71.099999999999994</v>
      </c>
      <c r="G10" s="54">
        <v>8.1</v>
      </c>
      <c r="H10" s="54">
        <v>669.7</v>
      </c>
      <c r="I10" s="54">
        <v>264.8</v>
      </c>
      <c r="J10" s="54">
        <v>404.9</v>
      </c>
      <c r="K10" s="99">
        <v>1882.1</v>
      </c>
    </row>
    <row r="11" spans="1:11" x14ac:dyDescent="0.2">
      <c r="B11" s="69" t="s">
        <v>47</v>
      </c>
      <c r="C11" s="70"/>
      <c r="D11" s="95">
        <v>1624.7</v>
      </c>
      <c r="E11" s="96">
        <v>175.2</v>
      </c>
      <c r="F11" s="96">
        <v>272.89999999999998</v>
      </c>
      <c r="G11" s="96">
        <v>32.799999999999997</v>
      </c>
      <c r="H11" s="96">
        <v>2603.5</v>
      </c>
      <c r="I11" s="96">
        <v>1046.3999999999999</v>
      </c>
      <c r="J11" s="96">
        <v>1557.1</v>
      </c>
      <c r="K11" s="97">
        <v>7312.6</v>
      </c>
    </row>
    <row r="12" spans="1:11" x14ac:dyDescent="0.2">
      <c r="B12" s="69">
        <v>2016</v>
      </c>
      <c r="C12" s="69" t="s">
        <v>18</v>
      </c>
      <c r="D12" s="95">
        <v>423.6</v>
      </c>
      <c r="E12" s="96">
        <v>46.6</v>
      </c>
      <c r="F12" s="96">
        <v>71.099999999999994</v>
      </c>
      <c r="G12" s="96">
        <v>8.1</v>
      </c>
      <c r="H12" s="96">
        <v>670.7</v>
      </c>
      <c r="I12" s="96">
        <v>264.10000000000002</v>
      </c>
      <c r="J12" s="96">
        <v>406.6</v>
      </c>
      <c r="K12" s="97">
        <v>1890.8000000000002</v>
      </c>
    </row>
    <row r="13" spans="1:11" x14ac:dyDescent="0.2">
      <c r="B13" s="109"/>
      <c r="C13" s="73" t="s">
        <v>3</v>
      </c>
      <c r="D13" s="98">
        <v>431.2</v>
      </c>
      <c r="E13" s="54">
        <v>49.4</v>
      </c>
      <c r="F13" s="54">
        <v>75.2</v>
      </c>
      <c r="G13" s="54">
        <v>8.1999999999999993</v>
      </c>
      <c r="H13" s="54">
        <v>690.8</v>
      </c>
      <c r="I13" s="54">
        <v>269</v>
      </c>
      <c r="J13" s="54">
        <v>421.8</v>
      </c>
      <c r="K13" s="99">
        <v>1945.6</v>
      </c>
    </row>
    <row r="14" spans="1:11" x14ac:dyDescent="0.2">
      <c r="B14" s="109"/>
      <c r="C14" s="73" t="s">
        <v>15</v>
      </c>
      <c r="D14" s="98">
        <v>439.2</v>
      </c>
      <c r="E14" s="54">
        <v>50.2</v>
      </c>
      <c r="F14" s="54">
        <v>74.5</v>
      </c>
      <c r="G14" s="54">
        <v>8</v>
      </c>
      <c r="H14" s="54">
        <v>690.3</v>
      </c>
      <c r="I14" s="54">
        <v>266.7</v>
      </c>
      <c r="J14" s="54">
        <v>423.5</v>
      </c>
      <c r="K14" s="99">
        <v>1952.3999999999999</v>
      </c>
    </row>
    <row r="15" spans="1:11" x14ac:dyDescent="0.2">
      <c r="B15" s="109"/>
      <c r="C15" s="73" t="s">
        <v>16</v>
      </c>
      <c r="D15" s="98">
        <v>447.3</v>
      </c>
      <c r="E15" s="54">
        <v>53</v>
      </c>
      <c r="F15" s="54">
        <v>77.8</v>
      </c>
      <c r="G15" s="54">
        <v>7.9</v>
      </c>
      <c r="H15" s="54">
        <v>706.2</v>
      </c>
      <c r="I15" s="54">
        <v>270.10000000000002</v>
      </c>
      <c r="J15" s="54">
        <v>436.1</v>
      </c>
      <c r="K15" s="99">
        <v>1998.4</v>
      </c>
    </row>
    <row r="16" spans="1:11" x14ac:dyDescent="0.2">
      <c r="B16" s="69" t="s">
        <v>48</v>
      </c>
      <c r="C16" s="70"/>
      <c r="D16" s="95">
        <v>1741.3</v>
      </c>
      <c r="E16" s="96">
        <v>199.2</v>
      </c>
      <c r="F16" s="96">
        <v>298.60000000000002</v>
      </c>
      <c r="G16" s="96">
        <v>32.199999999999996</v>
      </c>
      <c r="H16" s="96">
        <v>2758</v>
      </c>
      <c r="I16" s="96">
        <v>1069.9000000000001</v>
      </c>
      <c r="J16" s="96">
        <v>1688</v>
      </c>
      <c r="K16" s="97">
        <v>7787.2000000000007</v>
      </c>
    </row>
    <row r="17" spans="2:11" x14ac:dyDescent="0.2">
      <c r="B17" s="69">
        <v>2017</v>
      </c>
      <c r="C17" s="69" t="s">
        <v>18</v>
      </c>
      <c r="D17" s="95">
        <v>456.2</v>
      </c>
      <c r="E17" s="96">
        <v>52.8</v>
      </c>
      <c r="F17" s="96">
        <v>77.5</v>
      </c>
      <c r="G17" s="96">
        <v>7.9</v>
      </c>
      <c r="H17" s="96">
        <v>705.3</v>
      </c>
      <c r="I17" s="96">
        <v>268.8</v>
      </c>
      <c r="J17" s="96">
        <v>436.5</v>
      </c>
      <c r="K17" s="97">
        <v>2004.9999999999998</v>
      </c>
    </row>
    <row r="18" spans="2:11" x14ac:dyDescent="0.2">
      <c r="B18" s="109"/>
      <c r="C18" s="73" t="s">
        <v>3</v>
      </c>
      <c r="D18" s="98">
        <v>464.5</v>
      </c>
      <c r="E18" s="54">
        <v>55.7</v>
      </c>
      <c r="F18" s="54">
        <v>81.5</v>
      </c>
      <c r="G18" s="54">
        <v>7.9</v>
      </c>
      <c r="H18" s="54">
        <v>722.2</v>
      </c>
      <c r="I18" s="54">
        <v>272.5</v>
      </c>
      <c r="J18" s="54">
        <v>449.6</v>
      </c>
      <c r="K18" s="99">
        <v>2053.9</v>
      </c>
    </row>
    <row r="19" spans="2:11" x14ac:dyDescent="0.2">
      <c r="B19" s="109"/>
      <c r="C19" s="73" t="s">
        <v>15</v>
      </c>
      <c r="D19" s="98">
        <v>472.3</v>
      </c>
      <c r="E19" s="54">
        <v>56.6</v>
      </c>
      <c r="F19" s="54">
        <v>80.5</v>
      </c>
      <c r="G19" s="54">
        <v>7.8</v>
      </c>
      <c r="H19" s="54">
        <v>720.2</v>
      </c>
      <c r="I19" s="54">
        <v>269.89999999999998</v>
      </c>
      <c r="J19" s="54">
        <v>450.3</v>
      </c>
      <c r="K19" s="99">
        <v>2057.6000000000004</v>
      </c>
    </row>
    <row r="20" spans="2:11" x14ac:dyDescent="0.2">
      <c r="B20" s="109"/>
      <c r="C20" s="73" t="s">
        <v>16</v>
      </c>
      <c r="D20" s="98">
        <v>480.3</v>
      </c>
      <c r="E20" s="54">
        <v>59.7</v>
      </c>
      <c r="F20" s="54">
        <v>83.9</v>
      </c>
      <c r="G20" s="54">
        <v>7.6</v>
      </c>
      <c r="H20" s="54">
        <v>735.5</v>
      </c>
      <c r="I20" s="54">
        <v>273.10000000000002</v>
      </c>
      <c r="J20" s="54">
        <v>462.4</v>
      </c>
      <c r="K20" s="99">
        <v>2102.5</v>
      </c>
    </row>
    <row r="21" spans="2:11" x14ac:dyDescent="0.2">
      <c r="B21" s="69" t="s">
        <v>49</v>
      </c>
      <c r="C21" s="70"/>
      <c r="D21" s="95">
        <v>1873.3</v>
      </c>
      <c r="E21" s="96">
        <v>224.8</v>
      </c>
      <c r="F21" s="96">
        <v>323.39999999999998</v>
      </c>
      <c r="G21" s="96">
        <v>31.200000000000003</v>
      </c>
      <c r="H21" s="96">
        <v>2883.2</v>
      </c>
      <c r="I21" s="96">
        <v>1084.3</v>
      </c>
      <c r="J21" s="96">
        <v>1798.8000000000002</v>
      </c>
      <c r="K21" s="97">
        <v>8219</v>
      </c>
    </row>
    <row r="22" spans="2:11" x14ac:dyDescent="0.2">
      <c r="B22" s="69">
        <v>2018</v>
      </c>
      <c r="C22" s="69" t="s">
        <v>18</v>
      </c>
      <c r="D22" s="95">
        <v>489</v>
      </c>
      <c r="E22" s="96">
        <v>59.6</v>
      </c>
      <c r="F22" s="96">
        <v>83.7</v>
      </c>
      <c r="G22" s="96">
        <v>7.6</v>
      </c>
      <c r="H22" s="96">
        <v>735.5</v>
      </c>
      <c r="I22" s="96">
        <v>272.2</v>
      </c>
      <c r="J22" s="96">
        <v>463.3</v>
      </c>
      <c r="K22" s="97">
        <v>2110.9</v>
      </c>
    </row>
    <row r="23" spans="2:11" x14ac:dyDescent="0.2">
      <c r="B23" s="109"/>
      <c r="C23" s="73" t="s">
        <v>3</v>
      </c>
      <c r="D23" s="98">
        <v>495.9</v>
      </c>
      <c r="E23" s="54">
        <v>62.8</v>
      </c>
      <c r="F23" s="54">
        <v>87.7</v>
      </c>
      <c r="G23" s="54">
        <v>7.6</v>
      </c>
      <c r="H23" s="54">
        <v>753</v>
      </c>
      <c r="I23" s="54">
        <v>276.39999999999998</v>
      </c>
      <c r="J23" s="54">
        <v>476.6</v>
      </c>
      <c r="K23" s="99">
        <v>2160</v>
      </c>
    </row>
    <row r="24" spans="2:11" x14ac:dyDescent="0.2">
      <c r="B24" s="109"/>
      <c r="C24" s="73" t="s">
        <v>15</v>
      </c>
      <c r="D24" s="98">
        <v>501.9</v>
      </c>
      <c r="E24" s="54">
        <v>63.9</v>
      </c>
      <c r="F24" s="54">
        <v>86.7</v>
      </c>
      <c r="G24" s="54">
        <v>7.4</v>
      </c>
      <c r="H24" s="54">
        <v>752.1</v>
      </c>
      <c r="I24" s="54">
        <v>274.2</v>
      </c>
      <c r="J24" s="54">
        <v>477.8</v>
      </c>
      <c r="K24" s="99">
        <v>2164</v>
      </c>
    </row>
    <row r="25" spans="2:11" x14ac:dyDescent="0.2">
      <c r="B25" s="109"/>
      <c r="C25" s="73" t="s">
        <v>16</v>
      </c>
      <c r="D25" s="98">
        <v>508</v>
      </c>
      <c r="E25" s="54">
        <v>67</v>
      </c>
      <c r="F25" s="54">
        <v>89.9</v>
      </c>
      <c r="G25" s="54">
        <v>7.1</v>
      </c>
      <c r="H25" s="54">
        <v>767.1</v>
      </c>
      <c r="I25" s="54">
        <v>277.5</v>
      </c>
      <c r="J25" s="54">
        <v>489.6</v>
      </c>
      <c r="K25" s="99">
        <v>2206.1999999999998</v>
      </c>
    </row>
    <row r="26" spans="2:11" x14ac:dyDescent="0.2">
      <c r="B26" s="69" t="s">
        <v>50</v>
      </c>
      <c r="C26" s="70"/>
      <c r="D26" s="95">
        <v>1994.8</v>
      </c>
      <c r="E26" s="96">
        <v>253.3</v>
      </c>
      <c r="F26" s="96">
        <v>348</v>
      </c>
      <c r="G26" s="96">
        <v>29.700000000000003</v>
      </c>
      <c r="H26" s="96">
        <v>3007.7</v>
      </c>
      <c r="I26" s="96">
        <v>1100.3</v>
      </c>
      <c r="J26" s="96">
        <v>1907.3000000000002</v>
      </c>
      <c r="K26" s="97">
        <v>8641.0999999999985</v>
      </c>
    </row>
    <row r="27" spans="2:11" x14ac:dyDescent="0.2">
      <c r="B27" s="69">
        <v>2019</v>
      </c>
      <c r="C27" s="69" t="s">
        <v>18</v>
      </c>
      <c r="D27" s="95">
        <v>515.6</v>
      </c>
      <c r="E27" s="96">
        <v>71.3</v>
      </c>
      <c r="F27" s="96">
        <v>89.8</v>
      </c>
      <c r="G27" s="96">
        <v>6.9</v>
      </c>
      <c r="H27" s="96">
        <v>767.7</v>
      </c>
      <c r="I27" s="96">
        <v>276.8</v>
      </c>
      <c r="J27" s="96">
        <v>490.9</v>
      </c>
      <c r="K27" s="97">
        <v>2219</v>
      </c>
    </row>
    <row r="28" spans="2:11" x14ac:dyDescent="0.2">
      <c r="B28" s="109"/>
      <c r="C28" s="73" t="s">
        <v>3</v>
      </c>
      <c r="D28" s="98">
        <v>521.79999999999995</v>
      </c>
      <c r="E28" s="54">
        <v>70.7</v>
      </c>
      <c r="F28" s="54">
        <v>93.9</v>
      </c>
      <c r="G28" s="54">
        <v>6.6</v>
      </c>
      <c r="H28" s="54">
        <v>783.5</v>
      </c>
      <c r="I28" s="54">
        <v>280</v>
      </c>
      <c r="J28" s="54">
        <v>503.5</v>
      </c>
      <c r="K28" s="99">
        <v>2260</v>
      </c>
    </row>
    <row r="29" spans="2:11" x14ac:dyDescent="0.2">
      <c r="B29" s="109"/>
      <c r="C29" s="73" t="s">
        <v>15</v>
      </c>
      <c r="D29" s="98">
        <v>528.4</v>
      </c>
      <c r="E29" s="54">
        <v>71.900000000000006</v>
      </c>
      <c r="F29" s="54">
        <v>92.9</v>
      </c>
      <c r="G29" s="54">
        <v>6.3</v>
      </c>
      <c r="H29" s="54">
        <v>781.6</v>
      </c>
      <c r="I29" s="54">
        <v>277.39999999999998</v>
      </c>
      <c r="J29" s="54">
        <v>504.2</v>
      </c>
      <c r="K29" s="99">
        <v>2262.6999999999998</v>
      </c>
    </row>
    <row r="30" spans="2:11" x14ac:dyDescent="0.2">
      <c r="B30" s="109"/>
      <c r="C30" s="73" t="s">
        <v>16</v>
      </c>
      <c r="D30" s="98">
        <v>536.1</v>
      </c>
      <c r="E30" s="54">
        <v>75.2</v>
      </c>
      <c r="F30" s="54">
        <v>96.1</v>
      </c>
      <c r="G30" s="54">
        <v>6.1</v>
      </c>
      <c r="H30" s="54">
        <v>796.7</v>
      </c>
      <c r="I30" s="54">
        <v>280.7</v>
      </c>
      <c r="J30" s="54">
        <v>516</v>
      </c>
      <c r="K30" s="99">
        <v>2306.9000000000005</v>
      </c>
    </row>
    <row r="31" spans="2:11" x14ac:dyDescent="0.2">
      <c r="B31" s="69" t="s">
        <v>51</v>
      </c>
      <c r="C31" s="70"/>
      <c r="D31" s="95">
        <v>2101.9</v>
      </c>
      <c r="E31" s="96">
        <v>289.10000000000002</v>
      </c>
      <c r="F31" s="96">
        <v>372.70000000000005</v>
      </c>
      <c r="G31" s="96">
        <v>25.9</v>
      </c>
      <c r="H31" s="96">
        <v>3129.5</v>
      </c>
      <c r="I31" s="96">
        <v>1114.8999999999999</v>
      </c>
      <c r="J31" s="96">
        <v>2014.6</v>
      </c>
      <c r="K31" s="97">
        <v>9048.6</v>
      </c>
    </row>
    <row r="32" spans="2:11" x14ac:dyDescent="0.2">
      <c r="B32" s="69">
        <v>2020</v>
      </c>
      <c r="C32" s="69" t="s">
        <v>18</v>
      </c>
      <c r="D32" s="95">
        <v>542.4</v>
      </c>
      <c r="E32" s="96">
        <v>75.3</v>
      </c>
      <c r="F32" s="96">
        <v>95.6</v>
      </c>
      <c r="G32" s="96">
        <v>5.9</v>
      </c>
      <c r="H32" s="96">
        <v>795.8</v>
      </c>
      <c r="I32" s="96">
        <v>279.60000000000002</v>
      </c>
      <c r="J32" s="96">
        <v>516.29999999999995</v>
      </c>
      <c r="K32" s="97">
        <v>2310.8999999999996</v>
      </c>
    </row>
    <row r="33" spans="2:11" x14ac:dyDescent="0.2">
      <c r="B33" s="109"/>
      <c r="C33" s="73" t="s">
        <v>3</v>
      </c>
      <c r="D33" s="98">
        <v>547.70000000000005</v>
      </c>
      <c r="E33" s="54">
        <v>78.8</v>
      </c>
      <c r="F33" s="54">
        <v>99.4</v>
      </c>
      <c r="G33" s="54">
        <v>5.6</v>
      </c>
      <c r="H33" s="54">
        <v>811.4</v>
      </c>
      <c r="I33" s="54">
        <v>282.89999999999998</v>
      </c>
      <c r="J33" s="54">
        <v>528.5</v>
      </c>
      <c r="K33" s="99">
        <v>2354.3000000000002</v>
      </c>
    </row>
    <row r="34" spans="2:11" x14ac:dyDescent="0.2">
      <c r="B34" s="109"/>
      <c r="C34" s="73" t="s">
        <v>15</v>
      </c>
      <c r="D34" s="98">
        <v>550.20000000000005</v>
      </c>
      <c r="E34" s="54">
        <v>79.5</v>
      </c>
      <c r="F34" s="54">
        <v>98.3</v>
      </c>
      <c r="G34" s="54">
        <v>5.4</v>
      </c>
      <c r="H34" s="54">
        <v>811.4</v>
      </c>
      <c r="I34" s="54">
        <v>282.3</v>
      </c>
      <c r="J34" s="54">
        <v>529.1</v>
      </c>
      <c r="K34" s="99">
        <v>2356.1999999999998</v>
      </c>
    </row>
    <row r="35" spans="2:11" x14ac:dyDescent="0.2">
      <c r="B35" s="109"/>
      <c r="C35" s="73" t="s">
        <v>16</v>
      </c>
      <c r="D35" s="98">
        <v>552.1</v>
      </c>
      <c r="E35" s="54">
        <v>82.8</v>
      </c>
      <c r="F35" s="54">
        <v>100.8</v>
      </c>
      <c r="G35" s="54">
        <v>5.2</v>
      </c>
      <c r="H35" s="54">
        <v>825.5</v>
      </c>
      <c r="I35" s="54">
        <v>285.7</v>
      </c>
      <c r="J35" s="54">
        <v>539.79999999999995</v>
      </c>
      <c r="K35" s="99">
        <v>2391.9</v>
      </c>
    </row>
    <row r="36" spans="2:11" x14ac:dyDescent="0.2">
      <c r="B36" s="69" t="s">
        <v>52</v>
      </c>
      <c r="C36" s="70"/>
      <c r="D36" s="95">
        <v>2192.4</v>
      </c>
      <c r="E36" s="96">
        <v>316.39999999999998</v>
      </c>
      <c r="F36" s="96">
        <v>394.1</v>
      </c>
      <c r="G36" s="96">
        <v>22.099999999999998</v>
      </c>
      <c r="H36" s="96">
        <v>3244.1</v>
      </c>
      <c r="I36" s="96">
        <v>1130.5</v>
      </c>
      <c r="J36" s="96">
        <v>2113.6999999999998</v>
      </c>
      <c r="K36" s="97">
        <v>9413.2999999999993</v>
      </c>
    </row>
    <row r="37" spans="2:11" x14ac:dyDescent="0.2">
      <c r="B37" s="69">
        <v>2021</v>
      </c>
      <c r="C37" s="69" t="s">
        <v>18</v>
      </c>
      <c r="D37" s="95">
        <v>552.6</v>
      </c>
      <c r="E37" s="96">
        <v>82.7</v>
      </c>
      <c r="F37" s="96">
        <v>100.3</v>
      </c>
      <c r="G37" s="96">
        <v>4.9000000000000004</v>
      </c>
      <c r="H37" s="96">
        <v>824.6</v>
      </c>
      <c r="I37" s="96">
        <v>285.2</v>
      </c>
      <c r="J37" s="96">
        <v>539.4</v>
      </c>
      <c r="K37" s="97">
        <v>2389.6999999999998</v>
      </c>
    </row>
    <row r="38" spans="2:11" x14ac:dyDescent="0.2">
      <c r="B38" s="109"/>
      <c r="C38" s="73" t="s">
        <v>3</v>
      </c>
      <c r="D38" s="98">
        <v>554.70000000000005</v>
      </c>
      <c r="E38" s="54">
        <v>86.3</v>
      </c>
      <c r="F38" s="54">
        <v>103.6</v>
      </c>
      <c r="G38" s="54">
        <v>4.7</v>
      </c>
      <c r="H38" s="54">
        <v>842.5</v>
      </c>
      <c r="I38" s="54">
        <v>289.8</v>
      </c>
      <c r="J38" s="54">
        <v>552.70000000000005</v>
      </c>
      <c r="K38" s="99">
        <v>2434.3000000000002</v>
      </c>
    </row>
    <row r="39" spans="2:11" x14ac:dyDescent="0.2">
      <c r="B39" s="109"/>
      <c r="C39" s="73" t="s">
        <v>15</v>
      </c>
      <c r="D39" s="98">
        <v>554.5</v>
      </c>
      <c r="E39" s="54">
        <v>87.3</v>
      </c>
      <c r="F39" s="54">
        <v>102.8</v>
      </c>
      <c r="G39" s="54">
        <v>4.3</v>
      </c>
      <c r="H39" s="54">
        <v>842.2</v>
      </c>
      <c r="I39" s="54">
        <v>288.7</v>
      </c>
      <c r="J39" s="54">
        <v>553.5</v>
      </c>
      <c r="K39" s="99">
        <v>2433.3000000000002</v>
      </c>
    </row>
    <row r="40" spans="2:11" x14ac:dyDescent="0.2">
      <c r="B40" s="109"/>
      <c r="C40" s="73" t="s">
        <v>16</v>
      </c>
      <c r="D40" s="98">
        <v>555.1</v>
      </c>
      <c r="E40" s="54">
        <v>90.7</v>
      </c>
      <c r="F40" s="54">
        <v>105.4</v>
      </c>
      <c r="G40" s="54">
        <v>4.4000000000000004</v>
      </c>
      <c r="H40" s="54">
        <v>855</v>
      </c>
      <c r="I40" s="54">
        <v>291.5</v>
      </c>
      <c r="J40" s="54">
        <v>563.5</v>
      </c>
      <c r="K40" s="99">
        <v>2465.6</v>
      </c>
    </row>
    <row r="41" spans="2:11" x14ac:dyDescent="0.2">
      <c r="B41" s="69" t="s">
        <v>53</v>
      </c>
      <c r="C41" s="70"/>
      <c r="D41" s="95">
        <v>2216.9</v>
      </c>
      <c r="E41" s="96">
        <v>347</v>
      </c>
      <c r="F41" s="96">
        <v>412.1</v>
      </c>
      <c r="G41" s="96">
        <v>18.300000000000004</v>
      </c>
      <c r="H41" s="96">
        <v>3364.3</v>
      </c>
      <c r="I41" s="96">
        <v>1155.2</v>
      </c>
      <c r="J41" s="96">
        <v>2209.1</v>
      </c>
      <c r="K41" s="97">
        <v>9722.9</v>
      </c>
    </row>
    <row r="42" spans="2:11" x14ac:dyDescent="0.2">
      <c r="B42" s="69">
        <v>2022</v>
      </c>
      <c r="C42" s="69" t="s">
        <v>18</v>
      </c>
      <c r="D42" s="95">
        <v>553.29999999999995</v>
      </c>
      <c r="E42" s="96">
        <v>90.6</v>
      </c>
      <c r="F42" s="96">
        <v>104.8</v>
      </c>
      <c r="G42" s="96">
        <v>4.2</v>
      </c>
      <c r="H42" s="96">
        <v>853.4</v>
      </c>
      <c r="I42" s="96">
        <v>290.89999999999998</v>
      </c>
      <c r="J42" s="96">
        <v>562.5</v>
      </c>
      <c r="K42" s="97">
        <v>2459.6999999999998</v>
      </c>
    </row>
    <row r="43" spans="2:11" x14ac:dyDescent="0.2">
      <c r="B43" s="109"/>
      <c r="C43" s="73" t="s">
        <v>3</v>
      </c>
      <c r="D43" s="98">
        <v>549.20000000000005</v>
      </c>
      <c r="E43" s="54">
        <v>94</v>
      </c>
      <c r="F43" s="54">
        <v>107.3</v>
      </c>
      <c r="G43" s="54">
        <v>4.2</v>
      </c>
      <c r="H43" s="54">
        <v>864.9</v>
      </c>
      <c r="I43" s="54">
        <v>293.10000000000002</v>
      </c>
      <c r="J43" s="54">
        <v>571.9</v>
      </c>
      <c r="K43" s="99">
        <v>2484.6</v>
      </c>
    </row>
    <row r="44" spans="2:11" x14ac:dyDescent="0.2">
      <c r="B44" s="109"/>
      <c r="C44" s="73" t="s">
        <v>15</v>
      </c>
      <c r="D44" s="98">
        <v>548.70000000000005</v>
      </c>
      <c r="E44" s="54">
        <v>94.9</v>
      </c>
      <c r="F44" s="54">
        <v>106.3</v>
      </c>
      <c r="G44" s="54">
        <v>4</v>
      </c>
      <c r="H44" s="54">
        <v>863.3</v>
      </c>
      <c r="I44" s="54">
        <v>291.89999999999998</v>
      </c>
      <c r="J44" s="54">
        <v>571.5</v>
      </c>
      <c r="K44" s="99">
        <v>2480.6</v>
      </c>
    </row>
    <row r="45" spans="2:11" x14ac:dyDescent="0.2">
      <c r="B45" s="109"/>
      <c r="C45" s="73" t="s">
        <v>16</v>
      </c>
      <c r="D45" s="98">
        <v>550.6</v>
      </c>
      <c r="E45" s="54">
        <v>97.9</v>
      </c>
      <c r="F45" s="54">
        <v>108.5</v>
      </c>
      <c r="G45" s="54">
        <v>3.9</v>
      </c>
      <c r="H45" s="54">
        <v>873.6</v>
      </c>
      <c r="I45" s="54">
        <v>294.3</v>
      </c>
      <c r="J45" s="54">
        <v>579.29999999999995</v>
      </c>
      <c r="K45" s="99">
        <v>2508.1</v>
      </c>
    </row>
    <row r="46" spans="2:11" x14ac:dyDescent="0.2">
      <c r="B46" s="69" t="s">
        <v>54</v>
      </c>
      <c r="C46" s="70"/>
      <c r="D46" s="95">
        <v>2201.8000000000002</v>
      </c>
      <c r="E46" s="96">
        <v>377.4</v>
      </c>
      <c r="F46" s="96">
        <v>426.9</v>
      </c>
      <c r="G46" s="96">
        <v>16.3</v>
      </c>
      <c r="H46" s="96">
        <v>3455.2</v>
      </c>
      <c r="I46" s="96">
        <v>1170.2</v>
      </c>
      <c r="J46" s="96">
        <v>2285.1999999999998</v>
      </c>
      <c r="K46" s="97">
        <v>9933</v>
      </c>
    </row>
    <row r="47" spans="2:11" x14ac:dyDescent="0.2">
      <c r="B47" s="69">
        <v>2023</v>
      </c>
      <c r="C47" s="69" t="s">
        <v>18</v>
      </c>
      <c r="D47" s="95">
        <v>560.29999999999995</v>
      </c>
      <c r="E47" s="96">
        <v>96.7</v>
      </c>
      <c r="F47" s="96">
        <v>107.6</v>
      </c>
      <c r="G47" s="96">
        <v>3.8</v>
      </c>
      <c r="H47" s="96">
        <v>867.1</v>
      </c>
      <c r="I47" s="96">
        <v>293</v>
      </c>
      <c r="J47" s="96">
        <v>574.1</v>
      </c>
      <c r="K47" s="97">
        <v>2502.6</v>
      </c>
    </row>
    <row r="48" spans="2:11" x14ac:dyDescent="0.2">
      <c r="B48" s="109"/>
      <c r="C48" s="73" t="s">
        <v>3</v>
      </c>
      <c r="D48" s="98">
        <v>547.29999999999995</v>
      </c>
      <c r="E48" s="54">
        <v>100.7</v>
      </c>
      <c r="F48" s="54">
        <v>111.7</v>
      </c>
      <c r="G48" s="54">
        <v>3.7</v>
      </c>
      <c r="H48" s="54">
        <v>881.1</v>
      </c>
      <c r="I48" s="54">
        <v>296.2</v>
      </c>
      <c r="J48" s="54">
        <v>584.9</v>
      </c>
      <c r="K48" s="99">
        <v>2525.6</v>
      </c>
    </row>
    <row r="49" spans="2:11" x14ac:dyDescent="0.2">
      <c r="B49" s="109"/>
      <c r="C49" s="73" t="s">
        <v>15</v>
      </c>
      <c r="D49" s="98">
        <v>536.20000000000005</v>
      </c>
      <c r="E49" s="54">
        <v>101.9</v>
      </c>
      <c r="F49" s="54">
        <v>111.3</v>
      </c>
      <c r="G49" s="54">
        <v>3.7</v>
      </c>
      <c r="H49" s="54">
        <v>880.8</v>
      </c>
      <c r="I49" s="54">
        <v>295.39999999999998</v>
      </c>
      <c r="J49" s="54">
        <v>585.4</v>
      </c>
      <c r="K49" s="99">
        <v>2514.7000000000003</v>
      </c>
    </row>
    <row r="50" spans="2:11" x14ac:dyDescent="0.2">
      <c r="B50" s="109"/>
      <c r="C50" s="73" t="s">
        <v>16</v>
      </c>
      <c r="D50" s="98">
        <v>498.3</v>
      </c>
      <c r="E50" s="54">
        <v>104</v>
      </c>
      <c r="F50" s="54">
        <v>112.2</v>
      </c>
      <c r="G50" s="54">
        <v>3.6</v>
      </c>
      <c r="H50" s="54">
        <v>884.1</v>
      </c>
      <c r="I50" s="54">
        <v>295.60000000000002</v>
      </c>
      <c r="J50" s="54">
        <v>588.5</v>
      </c>
      <c r="K50" s="99">
        <v>2486.3000000000002</v>
      </c>
    </row>
    <row r="51" spans="2:11" x14ac:dyDescent="0.2">
      <c r="B51" s="69" t="s">
        <v>55</v>
      </c>
      <c r="C51" s="70"/>
      <c r="D51" s="95">
        <v>2142.1</v>
      </c>
      <c r="E51" s="96">
        <v>403.3</v>
      </c>
      <c r="F51" s="96">
        <v>442.8</v>
      </c>
      <c r="G51" s="96">
        <v>14.799999999999999</v>
      </c>
      <c r="H51" s="96">
        <v>3513.1</v>
      </c>
      <c r="I51" s="96">
        <v>1180.2</v>
      </c>
      <c r="J51" s="96">
        <v>2332.9</v>
      </c>
      <c r="K51" s="97">
        <v>10029.200000000001</v>
      </c>
    </row>
    <row r="52" spans="2:11" x14ac:dyDescent="0.2">
      <c r="B52" s="69">
        <v>2024</v>
      </c>
      <c r="C52" s="69" t="s">
        <v>18</v>
      </c>
      <c r="D52" s="95">
        <v>505.9</v>
      </c>
      <c r="E52" s="96">
        <v>103.4</v>
      </c>
      <c r="F52" s="96">
        <v>107.2</v>
      </c>
      <c r="G52" s="96">
        <v>3.5</v>
      </c>
      <c r="H52" s="96">
        <v>878.5</v>
      </c>
      <c r="I52" s="96">
        <v>293.3</v>
      </c>
      <c r="J52" s="96">
        <v>585.20000000000005</v>
      </c>
      <c r="K52" s="97">
        <v>2477</v>
      </c>
    </row>
    <row r="53" spans="2:11" x14ac:dyDescent="0.2">
      <c r="B53" s="109"/>
      <c r="C53" s="73" t="s">
        <v>3</v>
      </c>
      <c r="D53" s="98">
        <v>509.2</v>
      </c>
      <c r="E53" s="54">
        <v>107.5</v>
      </c>
      <c r="F53" s="54">
        <v>109.8</v>
      </c>
      <c r="G53" s="54">
        <v>3.4</v>
      </c>
      <c r="H53" s="54">
        <v>890.3</v>
      </c>
      <c r="I53" s="54">
        <v>295.39999999999998</v>
      </c>
      <c r="J53" s="54">
        <v>594.9</v>
      </c>
      <c r="K53" s="99">
        <v>2510.5</v>
      </c>
    </row>
    <row r="54" spans="2:11" x14ac:dyDescent="0.2">
      <c r="B54" s="109"/>
      <c r="C54" s="73" t="s">
        <v>15</v>
      </c>
      <c r="D54" s="98">
        <v>510.3</v>
      </c>
      <c r="E54" s="54">
        <v>107.7</v>
      </c>
      <c r="F54" s="54">
        <v>107.1</v>
      </c>
      <c r="G54" s="54">
        <v>3.3</v>
      </c>
      <c r="H54" s="54">
        <v>882.6</v>
      </c>
      <c r="I54" s="54">
        <v>291.8</v>
      </c>
      <c r="J54" s="54">
        <v>590.79999999999995</v>
      </c>
      <c r="K54" s="99">
        <v>2493.6</v>
      </c>
    </row>
    <row r="55" spans="2:11" x14ac:dyDescent="0.2">
      <c r="B55" s="109"/>
      <c r="C55" s="73" t="s">
        <v>16</v>
      </c>
      <c r="D55" s="98">
        <v>517.20000000000005</v>
      </c>
      <c r="E55" s="54">
        <v>112.1</v>
      </c>
      <c r="F55" s="54">
        <v>110.3</v>
      </c>
      <c r="G55" s="54">
        <v>3.2</v>
      </c>
      <c r="H55" s="54">
        <v>895.9</v>
      </c>
      <c r="I55" s="54">
        <v>294.39999999999998</v>
      </c>
      <c r="J55" s="54">
        <v>601.5</v>
      </c>
      <c r="K55" s="99">
        <v>2534.6</v>
      </c>
    </row>
    <row r="56" spans="2:11" x14ac:dyDescent="0.2">
      <c r="B56" s="69" t="s">
        <v>56</v>
      </c>
      <c r="C56" s="70"/>
      <c r="D56" s="95">
        <v>2042.6</v>
      </c>
      <c r="E56" s="96">
        <v>430.70000000000005</v>
      </c>
      <c r="F56" s="96">
        <v>434.40000000000003</v>
      </c>
      <c r="G56" s="96">
        <v>13.399999999999999</v>
      </c>
      <c r="H56" s="96">
        <v>3547.3</v>
      </c>
      <c r="I56" s="96">
        <v>1174.9000000000001</v>
      </c>
      <c r="J56" s="96">
        <v>2372.3999999999996</v>
      </c>
      <c r="K56" s="97">
        <v>10015.700000000001</v>
      </c>
    </row>
    <row r="57" spans="2:11" x14ac:dyDescent="0.2">
      <c r="B57" s="72" t="s">
        <v>37</v>
      </c>
      <c r="C57" s="110"/>
      <c r="D57" s="100">
        <v>20131.800000000007</v>
      </c>
      <c r="E57" s="101">
        <v>3016.3999999999996</v>
      </c>
      <c r="F57" s="101">
        <v>3725.9000000000005</v>
      </c>
      <c r="G57" s="101">
        <v>236.69999999999996</v>
      </c>
      <c r="H57" s="101">
        <v>31505.899999999998</v>
      </c>
      <c r="I57" s="101">
        <v>11226.799999999996</v>
      </c>
      <c r="J57" s="101">
        <v>20279.100000000002</v>
      </c>
      <c r="K57" s="102">
        <v>90122.600000000035</v>
      </c>
    </row>
    <row r="95" spans="2:2" x14ac:dyDescent="0.2">
      <c r="B95" s="50"/>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A6C74-CF61-43CD-BE03-F287DA3274D0}">
  <dimension ref="A1:R53"/>
  <sheetViews>
    <sheetView workbookViewId="0">
      <selection activeCell="J4" sqref="J4"/>
    </sheetView>
  </sheetViews>
  <sheetFormatPr defaultRowHeight="12.75" x14ac:dyDescent="0.2"/>
  <sheetData>
    <row r="1" spans="1:18" x14ac:dyDescent="0.2">
      <c r="A1" s="50" t="s">
        <v>66</v>
      </c>
    </row>
    <row r="3" spans="1:18" x14ac:dyDescent="0.2">
      <c r="P3" s="50" t="s">
        <v>67</v>
      </c>
      <c r="R3" s="51" t="s">
        <v>69</v>
      </c>
    </row>
    <row r="4" spans="1:18" x14ac:dyDescent="0.2">
      <c r="P4" s="50" t="s">
        <v>68</v>
      </c>
      <c r="R4" s="51" t="s">
        <v>70</v>
      </c>
    </row>
    <row r="53" spans="2:2" x14ac:dyDescent="0.2">
      <c r="B53" s="50"/>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5D6D9-8A10-4688-89AD-711ABC436012}">
  <dimension ref="A2:G268"/>
  <sheetViews>
    <sheetView workbookViewId="0">
      <selection activeCell="F270" sqref="F270"/>
    </sheetView>
  </sheetViews>
  <sheetFormatPr defaultRowHeight="12.75" x14ac:dyDescent="0.2"/>
  <cols>
    <col min="1" max="1" width="20.7109375" customWidth="1"/>
    <col min="2" max="2" width="18" customWidth="1"/>
    <col min="3" max="4" width="14.5703125" customWidth="1"/>
    <col min="5" max="5" width="21" customWidth="1"/>
  </cols>
  <sheetData>
    <row r="2" spans="1:7" x14ac:dyDescent="0.2">
      <c r="A2" s="50" t="s">
        <v>83</v>
      </c>
    </row>
    <row r="4" spans="1:7" ht="79.5" customHeight="1" x14ac:dyDescent="0.2">
      <c r="A4" t="s">
        <v>2</v>
      </c>
      <c r="B4" s="124" t="s">
        <v>71</v>
      </c>
      <c r="C4" s="124" t="s">
        <v>79</v>
      </c>
      <c r="D4" s="124" t="s">
        <v>80</v>
      </c>
      <c r="E4" s="124" t="s">
        <v>81</v>
      </c>
    </row>
    <row r="5" spans="1:7" x14ac:dyDescent="0.2">
      <c r="A5">
        <v>2014</v>
      </c>
      <c r="B5" s="9">
        <v>256.06666666666666</v>
      </c>
    </row>
    <row r="6" spans="1:7" x14ac:dyDescent="0.2">
      <c r="A6">
        <v>2015</v>
      </c>
      <c r="B6" s="9">
        <v>261.60000000000002</v>
      </c>
    </row>
    <row r="7" spans="1:7" x14ac:dyDescent="0.2">
      <c r="A7">
        <v>2016</v>
      </c>
      <c r="B7" s="9">
        <v>267.47500000000002</v>
      </c>
    </row>
    <row r="8" spans="1:7" x14ac:dyDescent="0.2">
      <c r="A8">
        <v>2017</v>
      </c>
      <c r="B8" s="9">
        <v>271.07499999999999</v>
      </c>
    </row>
    <row r="9" spans="1:7" x14ac:dyDescent="0.2">
      <c r="A9">
        <v>2018</v>
      </c>
      <c r="B9" s="9">
        <v>275.07499999999999</v>
      </c>
    </row>
    <row r="10" spans="1:7" x14ac:dyDescent="0.2">
      <c r="A10">
        <v>2019</v>
      </c>
      <c r="B10" s="9">
        <v>278.72499999999997</v>
      </c>
    </row>
    <row r="11" spans="1:7" x14ac:dyDescent="0.2">
      <c r="A11">
        <v>2020</v>
      </c>
      <c r="B11" s="9">
        <v>282.625</v>
      </c>
    </row>
    <row r="12" spans="1:7" x14ac:dyDescent="0.2">
      <c r="A12">
        <v>2021</v>
      </c>
      <c r="B12" s="9">
        <v>288.8</v>
      </c>
    </row>
    <row r="13" spans="1:7" x14ac:dyDescent="0.2">
      <c r="A13">
        <v>2022</v>
      </c>
      <c r="B13" s="9">
        <v>292.55</v>
      </c>
    </row>
    <row r="14" spans="1:7" x14ac:dyDescent="0.2">
      <c r="A14">
        <v>2023</v>
      </c>
      <c r="B14" s="9">
        <v>295.05</v>
      </c>
    </row>
    <row r="15" spans="1:7" x14ac:dyDescent="0.2">
      <c r="A15">
        <v>2024</v>
      </c>
      <c r="B15" s="9">
        <v>293.72500000000002</v>
      </c>
      <c r="C15" s="9">
        <v>293.72500000000002</v>
      </c>
      <c r="D15" s="9">
        <v>293.72500000000002</v>
      </c>
      <c r="E15" s="9">
        <v>293.72500000000002</v>
      </c>
      <c r="G15" s="125" t="s">
        <v>82</v>
      </c>
    </row>
    <row r="16" spans="1:7" x14ac:dyDescent="0.2">
      <c r="A16">
        <v>2025</v>
      </c>
      <c r="C16" s="9">
        <f>_xlfn.FORECAST.ETS(A16,$B$5:$B$15,$A$5:$A$15,1,1)</f>
        <v>296.34665916710833</v>
      </c>
      <c r="D16" s="9">
        <f>C16-_xlfn.FORECAST.ETS.CONFINT(A16,$B$5:$B$15,$A$5:$A$15,0.95,1,1)</f>
        <v>292.01528300571766</v>
      </c>
      <c r="E16" s="9">
        <f>C16+_xlfn.FORECAST.ETS.CONFINT(A16,$B$5:$B$15,$A$5:$A$15,0.95,1,1)</f>
        <v>300.67803532849899</v>
      </c>
    </row>
    <row r="17" spans="1:5" x14ac:dyDescent="0.2">
      <c r="A17">
        <v>2026</v>
      </c>
      <c r="C17" s="9">
        <f>_xlfn.FORECAST.ETS(A17,$B$5:$B$15,$A$5:$A$15,1,1)</f>
        <v>297.0785041795753</v>
      </c>
      <c r="D17" s="9">
        <f>C17-_xlfn.FORECAST.ETS.CONFINT(A17,$B$5:$B$15,$A$5:$A$15,0.95,1,1)</f>
        <v>290.42295056983329</v>
      </c>
      <c r="E17" s="9">
        <f>C17+_xlfn.FORECAST.ETS.CONFINT(A17,$B$5:$B$15,$A$5:$A$15,0.95,1,1)</f>
        <v>303.73405778931732</v>
      </c>
    </row>
    <row r="18" spans="1:5" x14ac:dyDescent="0.2">
      <c r="A18">
        <v>2027</v>
      </c>
      <c r="C18" s="9">
        <f>_xlfn.FORECAST.ETS(A18,$B$5:$B$15,$A$5:$A$15,1,1)</f>
        <v>297.81034919204228</v>
      </c>
      <c r="D18" s="9">
        <f>C18-_xlfn.FORECAST.ETS.CONFINT(A18,$B$5:$B$15,$A$5:$A$15,0.95,1,1)</f>
        <v>287.99149986726479</v>
      </c>
      <c r="E18" s="9">
        <f>C18+_xlfn.FORECAST.ETS.CONFINT(A18,$B$5:$B$15,$A$5:$A$15,0.95,1,1)</f>
        <v>307.62919851681977</v>
      </c>
    </row>
    <row r="47" spans="1:5" ht="15.75" customHeight="1" x14ac:dyDescent="0.2">
      <c r="A47" s="50" t="s">
        <v>84</v>
      </c>
    </row>
    <row r="48" spans="1:5" ht="63.75" x14ac:dyDescent="0.2">
      <c r="A48" t="s">
        <v>2</v>
      </c>
      <c r="B48" s="124" t="s">
        <v>71</v>
      </c>
      <c r="C48" s="124" t="s">
        <v>79</v>
      </c>
      <c r="D48" s="124" t="s">
        <v>80</v>
      </c>
      <c r="E48" s="124" t="s">
        <v>81</v>
      </c>
    </row>
    <row r="49" spans="1:7" x14ac:dyDescent="0.2">
      <c r="A49">
        <v>2014</v>
      </c>
      <c r="B49" s="46">
        <v>358.86666666666673</v>
      </c>
    </row>
    <row r="50" spans="1:7" x14ac:dyDescent="0.2">
      <c r="A50">
        <v>2015</v>
      </c>
      <c r="B50" s="46">
        <v>389.27499999999998</v>
      </c>
    </row>
    <row r="51" spans="1:7" x14ac:dyDescent="0.2">
      <c r="A51">
        <v>2016</v>
      </c>
      <c r="B51" s="46">
        <v>422</v>
      </c>
    </row>
    <row r="52" spans="1:7" x14ac:dyDescent="0.2">
      <c r="A52">
        <v>2017</v>
      </c>
      <c r="B52" s="46">
        <v>449.70000000000005</v>
      </c>
    </row>
    <row r="53" spans="1:7" x14ac:dyDescent="0.2">
      <c r="A53">
        <v>2018</v>
      </c>
      <c r="B53" s="46">
        <v>476.82499999999999</v>
      </c>
    </row>
    <row r="54" spans="1:7" x14ac:dyDescent="0.2">
      <c r="A54">
        <v>2019</v>
      </c>
      <c r="B54" s="46">
        <v>503.65</v>
      </c>
    </row>
    <row r="55" spans="1:7" x14ac:dyDescent="0.2">
      <c r="A55">
        <v>2020</v>
      </c>
      <c r="B55" s="46">
        <v>528.42499999999995</v>
      </c>
    </row>
    <row r="56" spans="1:7" x14ac:dyDescent="0.2">
      <c r="A56">
        <v>2021</v>
      </c>
      <c r="B56" s="46">
        <v>552.27499999999998</v>
      </c>
    </row>
    <row r="57" spans="1:7" x14ac:dyDescent="0.2">
      <c r="A57">
        <v>2022</v>
      </c>
      <c r="B57" s="46">
        <v>571.29999999999995</v>
      </c>
    </row>
    <row r="58" spans="1:7" x14ac:dyDescent="0.2">
      <c r="A58">
        <v>2023</v>
      </c>
      <c r="B58" s="46">
        <v>583.22500000000002</v>
      </c>
    </row>
    <row r="59" spans="1:7" x14ac:dyDescent="0.2">
      <c r="A59">
        <v>2024</v>
      </c>
      <c r="B59" s="46">
        <v>593.09999999999991</v>
      </c>
      <c r="C59" s="46">
        <v>593.09999999999991</v>
      </c>
      <c r="D59" s="46">
        <v>593.09999999999991</v>
      </c>
      <c r="E59" s="46">
        <v>593.09999999999991</v>
      </c>
    </row>
    <row r="60" spans="1:7" x14ac:dyDescent="0.2">
      <c r="A60">
        <v>2025</v>
      </c>
      <c r="C60" s="46">
        <f>_xlfn.FORECAST.ETS(A60,$B$2:$B$12,$A$2:$A$12,1,1)</f>
        <v>306.35309369100167</v>
      </c>
      <c r="D60" s="46">
        <f>C60-_xlfn.FORECAST.ETS.CONFINT(A60,$B$2:$B$12,$A$2:$A$12,0.95,1,1)</f>
        <v>302.66142579447529</v>
      </c>
      <c r="E60" s="46">
        <f>C60+_xlfn.FORECAST.ETS.CONFINT(A60,$B$2:$B$12,$A$2:$A$12,0.95,1,1)</f>
        <v>310.04476158752806</v>
      </c>
    </row>
    <row r="61" spans="1:7" x14ac:dyDescent="0.2">
      <c r="A61">
        <v>2026</v>
      </c>
      <c r="C61" s="46">
        <f>_xlfn.FORECAST.ETS(A61,$B$2:$B$12,$A$2:$A$12,1,1)</f>
        <v>310.78349343392711</v>
      </c>
      <c r="D61" s="46">
        <f>C61-_xlfn.FORECAST.ETS.CONFINT(A61,$B$2:$B$12,$A$2:$A$12,0.95,1,1)</f>
        <v>306.67676121889872</v>
      </c>
      <c r="E61" s="46">
        <f>C61+_xlfn.FORECAST.ETS.CONFINT(A61,$B$2:$B$12,$A$2:$A$12,0.95,1,1)</f>
        <v>314.89022564895549</v>
      </c>
    </row>
    <row r="62" spans="1:7" x14ac:dyDescent="0.2">
      <c r="A62">
        <v>2027</v>
      </c>
      <c r="C62" s="46">
        <f>_xlfn.FORECAST.ETS(A62,$B$2:$B$12,$A$2:$A$12,1,1)</f>
        <v>315.21389317685248</v>
      </c>
      <c r="D62" s="46">
        <f>C62-_xlfn.FORECAST.ETS.CONFINT(A62,$B$2:$B$12,$A$2:$A$12,0.95,1,1)</f>
        <v>310.72955908808694</v>
      </c>
      <c r="E62" s="46">
        <f>C62+_xlfn.FORECAST.ETS.CONFINT(A62,$B$2:$B$12,$A$2:$A$12,0.95,1,1)</f>
        <v>319.69822726561802</v>
      </c>
    </row>
    <row r="63" spans="1:7" x14ac:dyDescent="0.2">
      <c r="C63" s="46"/>
      <c r="D63" s="46"/>
      <c r="E63" s="46"/>
    </row>
    <row r="64" spans="1:7" ht="15.75" x14ac:dyDescent="0.2">
      <c r="A64" s="126"/>
      <c r="B64" s="126"/>
      <c r="C64" s="126"/>
      <c r="G64" s="50" t="s">
        <v>85</v>
      </c>
    </row>
    <row r="65" spans="1:3" ht="15.75" x14ac:dyDescent="0.2">
      <c r="A65" s="126"/>
      <c r="B65" s="126"/>
      <c r="C65" s="126"/>
    </row>
    <row r="66" spans="1:3" ht="15.75" x14ac:dyDescent="0.2">
      <c r="A66" s="126"/>
      <c r="B66" s="126"/>
      <c r="C66" s="126"/>
    </row>
    <row r="67" spans="1:3" ht="15.75" x14ac:dyDescent="0.2">
      <c r="A67" s="126"/>
      <c r="B67" s="126"/>
      <c r="C67" s="126"/>
    </row>
    <row r="68" spans="1:3" ht="15.75" x14ac:dyDescent="0.2">
      <c r="A68" s="126"/>
      <c r="B68" s="126"/>
      <c r="C68" s="126"/>
    </row>
    <row r="69" spans="1:3" ht="15.75" x14ac:dyDescent="0.2">
      <c r="A69" s="126"/>
      <c r="B69" s="126"/>
      <c r="C69" s="126"/>
    </row>
    <row r="70" spans="1:3" ht="15.75" x14ac:dyDescent="0.2">
      <c r="A70" s="126"/>
      <c r="B70" s="126"/>
      <c r="C70" s="126"/>
    </row>
    <row r="71" spans="1:3" ht="15.75" x14ac:dyDescent="0.2">
      <c r="A71" s="126"/>
      <c r="B71" s="126"/>
      <c r="C71" s="126"/>
    </row>
    <row r="72" spans="1:3" ht="15.75" x14ac:dyDescent="0.2">
      <c r="A72" s="126"/>
      <c r="B72" s="126"/>
      <c r="C72" s="126"/>
    </row>
    <row r="73" spans="1:3" ht="15.75" x14ac:dyDescent="0.2">
      <c r="A73" s="126"/>
      <c r="B73" s="126"/>
      <c r="C73" s="126"/>
    </row>
    <row r="74" spans="1:3" ht="15.75" x14ac:dyDescent="0.2">
      <c r="A74" s="126"/>
      <c r="B74" s="126"/>
      <c r="C74" s="126"/>
    </row>
    <row r="75" spans="1:3" ht="15.75" x14ac:dyDescent="0.2">
      <c r="A75" s="126"/>
      <c r="B75" s="126"/>
      <c r="C75" s="126"/>
    </row>
    <row r="76" spans="1:3" ht="15.75" x14ac:dyDescent="0.2">
      <c r="A76" s="126"/>
      <c r="B76" s="126"/>
      <c r="C76" s="126"/>
    </row>
    <row r="77" spans="1:3" ht="15.75" x14ac:dyDescent="0.2">
      <c r="A77" s="126"/>
      <c r="B77" s="126"/>
      <c r="C77" s="126"/>
    </row>
    <row r="78" spans="1:3" ht="15.75" x14ac:dyDescent="0.2">
      <c r="A78" s="126"/>
      <c r="B78" s="126"/>
      <c r="C78" s="126"/>
    </row>
    <row r="79" spans="1:3" ht="15.75" x14ac:dyDescent="0.2">
      <c r="A79" s="126"/>
      <c r="B79" s="126"/>
      <c r="C79" s="126"/>
    </row>
    <row r="80" spans="1:3" ht="15.75" x14ac:dyDescent="0.2">
      <c r="A80" s="126"/>
      <c r="B80" s="126"/>
      <c r="C80" s="126"/>
    </row>
    <row r="81" spans="1:5" ht="15.75" x14ac:dyDescent="0.2">
      <c r="A81" s="126"/>
      <c r="B81" s="126"/>
      <c r="C81" s="126"/>
    </row>
    <row r="82" spans="1:5" ht="15.75" x14ac:dyDescent="0.2">
      <c r="A82" s="126"/>
      <c r="B82" s="126"/>
      <c r="C82" s="126"/>
    </row>
    <row r="83" spans="1:5" ht="15.75" x14ac:dyDescent="0.2">
      <c r="A83" s="126"/>
      <c r="B83" s="126"/>
      <c r="C83" s="126"/>
    </row>
    <row r="84" spans="1:5" ht="15.75" x14ac:dyDescent="0.2">
      <c r="A84" s="126"/>
      <c r="B84" s="126"/>
      <c r="C84" s="126"/>
    </row>
    <row r="85" spans="1:5" ht="15.75" x14ac:dyDescent="0.2">
      <c r="A85" s="126"/>
      <c r="B85" s="126"/>
      <c r="C85" s="126"/>
    </row>
    <row r="86" spans="1:5" ht="15.75" x14ac:dyDescent="0.2">
      <c r="A86" s="126"/>
      <c r="B86" s="126"/>
      <c r="C86" s="126"/>
    </row>
    <row r="87" spans="1:5" ht="15.75" x14ac:dyDescent="0.2">
      <c r="A87" s="126"/>
      <c r="B87" s="126"/>
      <c r="C87" s="126"/>
    </row>
    <row r="88" spans="1:5" ht="15.75" x14ac:dyDescent="0.2">
      <c r="A88" s="126"/>
      <c r="B88" s="126"/>
      <c r="C88" s="126"/>
    </row>
    <row r="89" spans="1:5" ht="15.75" x14ac:dyDescent="0.2">
      <c r="A89" s="127" t="s">
        <v>88</v>
      </c>
      <c r="B89" s="127"/>
      <c r="C89" s="127"/>
    </row>
    <row r="90" spans="1:5" ht="15.75" x14ac:dyDescent="0.2">
      <c r="A90" s="126"/>
      <c r="B90" s="126"/>
      <c r="C90" s="126"/>
    </row>
    <row r="91" spans="1:5" ht="63.75" x14ac:dyDescent="0.2">
      <c r="A91" t="s">
        <v>2</v>
      </c>
      <c r="B91" s="124" t="s">
        <v>71</v>
      </c>
      <c r="C91" s="124" t="s">
        <v>79</v>
      </c>
      <c r="D91" s="124" t="s">
        <v>80</v>
      </c>
      <c r="E91" s="124" t="s">
        <v>81</v>
      </c>
    </row>
    <row r="92" spans="1:5" x14ac:dyDescent="0.2">
      <c r="A92">
        <v>2014</v>
      </c>
      <c r="B92" s="9">
        <v>614.9666666666667</v>
      </c>
    </row>
    <row r="93" spans="1:5" x14ac:dyDescent="0.2">
      <c r="A93">
        <v>2015</v>
      </c>
      <c r="B93" s="9">
        <v>650.875</v>
      </c>
    </row>
    <row r="94" spans="1:5" x14ac:dyDescent="0.2">
      <c r="A94">
        <v>2016</v>
      </c>
      <c r="B94" s="9">
        <v>689.5</v>
      </c>
    </row>
    <row r="95" spans="1:5" x14ac:dyDescent="0.2">
      <c r="A95">
        <v>2017</v>
      </c>
      <c r="B95" s="9">
        <v>720.8</v>
      </c>
    </row>
    <row r="96" spans="1:5" x14ac:dyDescent="0.2">
      <c r="A96">
        <v>2018</v>
      </c>
      <c r="B96" s="9">
        <v>751.92499999999995</v>
      </c>
    </row>
    <row r="97" spans="1:7" x14ac:dyDescent="0.2">
      <c r="A97">
        <v>2019</v>
      </c>
      <c r="B97" s="9">
        <v>782.375</v>
      </c>
    </row>
    <row r="98" spans="1:7" x14ac:dyDescent="0.2">
      <c r="A98">
        <v>2020</v>
      </c>
      <c r="B98" s="9">
        <v>811.02500000000009</v>
      </c>
    </row>
    <row r="99" spans="1:7" x14ac:dyDescent="0.2">
      <c r="A99">
        <v>2021</v>
      </c>
      <c r="B99" s="9">
        <v>841.07499999999993</v>
      </c>
    </row>
    <row r="100" spans="1:7" x14ac:dyDescent="0.2">
      <c r="A100">
        <v>2022</v>
      </c>
      <c r="B100" s="9">
        <v>863.80000000000007</v>
      </c>
    </row>
    <row r="101" spans="1:7" x14ac:dyDescent="0.2">
      <c r="A101">
        <v>2023</v>
      </c>
      <c r="B101" s="9">
        <v>878.27499999999998</v>
      </c>
    </row>
    <row r="102" spans="1:7" x14ac:dyDescent="0.2">
      <c r="A102">
        <v>2024</v>
      </c>
      <c r="B102" s="9">
        <v>886.82500000000005</v>
      </c>
      <c r="C102" s="9">
        <v>886.82500000000005</v>
      </c>
      <c r="D102" s="9">
        <v>886.82500000000005</v>
      </c>
      <c r="E102" s="9">
        <v>886.82500000000005</v>
      </c>
    </row>
    <row r="103" spans="1:7" x14ac:dyDescent="0.2">
      <c r="A103">
        <v>2025</v>
      </c>
      <c r="C103" s="9">
        <f>_xlfn.FORECAST.ETS(A103,$B$2:$B$12,$A$2:$A$12,1,1)</f>
        <v>306.35309369100167</v>
      </c>
      <c r="D103" s="9">
        <f>C103-_xlfn.FORECAST.ETS.CONFINT(A103,$B$2:$B$12,$A$2:$A$12,0.95,1,1)</f>
        <v>302.66142579447529</v>
      </c>
      <c r="E103" s="9">
        <f>C103+_xlfn.FORECAST.ETS.CONFINT(A103,$B$2:$B$12,$A$2:$A$12,0.95,1,1)</f>
        <v>310.04476158752806</v>
      </c>
    </row>
    <row r="104" spans="1:7" x14ac:dyDescent="0.2">
      <c r="A104">
        <v>2026</v>
      </c>
      <c r="C104" s="9">
        <f>_xlfn.FORECAST.ETS(A104,$B$2:$B$12,$A$2:$A$12,1,1)</f>
        <v>310.78349343392711</v>
      </c>
      <c r="D104" s="9">
        <f>C104-_xlfn.FORECAST.ETS.CONFINT(A104,$B$2:$B$12,$A$2:$A$12,0.95,1,1)</f>
        <v>306.67676121889872</v>
      </c>
      <c r="E104" s="9">
        <f>C104+_xlfn.FORECAST.ETS.CONFINT(A104,$B$2:$B$12,$A$2:$A$12,0.95,1,1)</f>
        <v>314.89022564895549</v>
      </c>
    </row>
    <row r="105" spans="1:7" x14ac:dyDescent="0.2">
      <c r="A105">
        <v>2027</v>
      </c>
      <c r="C105" s="9">
        <f>_xlfn.FORECAST.ETS(A105,$B$2:$B$12,$A$2:$A$12,1,1)</f>
        <v>315.21389317685248</v>
      </c>
      <c r="D105" s="9">
        <f>C105-_xlfn.FORECAST.ETS.CONFINT(A105,$B$2:$B$12,$A$2:$A$12,0.95,1,1)</f>
        <v>310.72955908808694</v>
      </c>
      <c r="E105" s="9">
        <f>C105+_xlfn.FORECAST.ETS.CONFINT(A105,$B$2:$B$12,$A$2:$A$12,0.95,1,1)</f>
        <v>319.69822726561802</v>
      </c>
      <c r="G105" s="50" t="s">
        <v>86</v>
      </c>
    </row>
    <row r="106" spans="1:7" ht="15.75" x14ac:dyDescent="0.2">
      <c r="A106" s="126"/>
      <c r="B106" s="126"/>
      <c r="C106" s="126"/>
    </row>
    <row r="107" spans="1:7" ht="15.75" x14ac:dyDescent="0.2">
      <c r="A107" s="126"/>
      <c r="B107" s="126"/>
      <c r="C107" s="126"/>
    </row>
    <row r="108" spans="1:7" ht="15.75" x14ac:dyDescent="0.2">
      <c r="A108" s="126"/>
      <c r="B108" s="126"/>
      <c r="C108" s="126"/>
    </row>
    <row r="109" spans="1:7" ht="15.75" x14ac:dyDescent="0.2">
      <c r="A109" s="126"/>
      <c r="B109" s="126"/>
      <c r="C109" s="126"/>
    </row>
    <row r="110" spans="1:7" ht="15.75" x14ac:dyDescent="0.2">
      <c r="A110" s="126"/>
      <c r="B110" s="126"/>
      <c r="C110" s="126"/>
    </row>
    <row r="111" spans="1:7" ht="15.75" x14ac:dyDescent="0.2">
      <c r="A111" s="126"/>
      <c r="B111" s="126"/>
      <c r="C111" s="126"/>
    </row>
    <row r="112" spans="1:7" ht="15.75" x14ac:dyDescent="0.2">
      <c r="A112" s="126"/>
      <c r="B112" s="126"/>
      <c r="C112" s="126"/>
    </row>
    <row r="113" spans="1:5" ht="15.75" x14ac:dyDescent="0.2">
      <c r="A113" s="126"/>
      <c r="B113" s="126"/>
      <c r="C113" s="126"/>
    </row>
    <row r="114" spans="1:5" ht="15.75" x14ac:dyDescent="0.2">
      <c r="A114" s="126"/>
      <c r="B114" s="126"/>
      <c r="C114" s="126"/>
    </row>
    <row r="115" spans="1:5" ht="15.75" x14ac:dyDescent="0.2">
      <c r="A115" s="126"/>
      <c r="B115" s="126"/>
      <c r="C115" s="126"/>
    </row>
    <row r="116" spans="1:5" ht="15.75" x14ac:dyDescent="0.2">
      <c r="A116" s="126"/>
      <c r="B116" s="126"/>
      <c r="C116" s="126"/>
    </row>
    <row r="117" spans="1:5" ht="15.75" x14ac:dyDescent="0.2">
      <c r="A117" s="126"/>
      <c r="B117" s="126"/>
      <c r="C117" s="126"/>
    </row>
    <row r="118" spans="1:5" ht="15.75" x14ac:dyDescent="0.2">
      <c r="A118" s="126"/>
      <c r="B118" s="126"/>
      <c r="C118" s="126"/>
    </row>
    <row r="119" spans="1:5" ht="15.75" x14ac:dyDescent="0.2">
      <c r="A119" s="126"/>
      <c r="B119" s="126"/>
      <c r="C119" s="126"/>
    </row>
    <row r="120" spans="1:5" ht="15.75" x14ac:dyDescent="0.2">
      <c r="A120" s="126"/>
      <c r="B120" s="126"/>
      <c r="C120" s="126"/>
    </row>
    <row r="121" spans="1:5" ht="15.75" x14ac:dyDescent="0.2">
      <c r="A121" s="126"/>
      <c r="B121" s="126"/>
      <c r="C121" s="126"/>
    </row>
    <row r="122" spans="1:5" ht="15.75" x14ac:dyDescent="0.2">
      <c r="A122" s="126"/>
      <c r="B122" s="126"/>
      <c r="C122" s="126"/>
    </row>
    <row r="123" spans="1:5" ht="15.75" x14ac:dyDescent="0.2">
      <c r="A123" s="126"/>
      <c r="B123" s="126"/>
      <c r="C123" s="126"/>
    </row>
    <row r="124" spans="1:5" ht="15.75" x14ac:dyDescent="0.2">
      <c r="A124" s="126"/>
      <c r="B124" s="126"/>
      <c r="C124" s="126"/>
    </row>
    <row r="125" spans="1:5" ht="15.75" x14ac:dyDescent="0.2">
      <c r="A125" s="126"/>
      <c r="B125" s="126"/>
      <c r="C125" s="126"/>
    </row>
    <row r="126" spans="1:5" ht="15.75" x14ac:dyDescent="0.2">
      <c r="A126" s="128" t="s">
        <v>87</v>
      </c>
      <c r="B126" s="128"/>
      <c r="C126" s="128"/>
      <c r="D126" s="128"/>
    </row>
    <row r="127" spans="1:5" ht="15.75" x14ac:dyDescent="0.2">
      <c r="A127" s="126"/>
      <c r="B127" s="126"/>
      <c r="C127" s="126"/>
    </row>
    <row r="128" spans="1:5" ht="63.75" x14ac:dyDescent="0.2">
      <c r="A128" t="s">
        <v>2</v>
      </c>
      <c r="B128" s="124" t="s">
        <v>71</v>
      </c>
      <c r="C128" s="124" t="s">
        <v>79</v>
      </c>
      <c r="D128" s="124" t="s">
        <v>80</v>
      </c>
      <c r="E128" s="124" t="s">
        <v>81</v>
      </c>
    </row>
    <row r="129" spans="1:7" x14ac:dyDescent="0.2">
      <c r="A129">
        <v>2014</v>
      </c>
      <c r="B129" s="46">
        <v>39.200000000000003</v>
      </c>
    </row>
    <row r="130" spans="1:7" x14ac:dyDescent="0.2">
      <c r="A130">
        <v>2015</v>
      </c>
      <c r="B130" s="46">
        <v>43.800000000000004</v>
      </c>
    </row>
    <row r="131" spans="1:7" x14ac:dyDescent="0.2">
      <c r="A131">
        <v>2016</v>
      </c>
      <c r="B131" s="46">
        <v>49.8</v>
      </c>
    </row>
    <row r="132" spans="1:7" x14ac:dyDescent="0.2">
      <c r="A132">
        <v>2017</v>
      </c>
      <c r="B132" s="46">
        <v>56.2</v>
      </c>
    </row>
    <row r="133" spans="1:7" x14ac:dyDescent="0.2">
      <c r="A133">
        <v>2018</v>
      </c>
      <c r="B133" s="46">
        <v>63.324999999999996</v>
      </c>
    </row>
    <row r="134" spans="1:7" x14ac:dyDescent="0.2">
      <c r="A134">
        <v>2019</v>
      </c>
      <c r="B134" s="46">
        <v>72.275000000000006</v>
      </c>
    </row>
    <row r="135" spans="1:7" x14ac:dyDescent="0.2">
      <c r="A135">
        <v>2020</v>
      </c>
      <c r="B135" s="46">
        <v>79.100000000000009</v>
      </c>
    </row>
    <row r="136" spans="1:7" x14ac:dyDescent="0.2">
      <c r="A136">
        <v>2021</v>
      </c>
      <c r="B136" s="46">
        <v>86.75</v>
      </c>
    </row>
    <row r="137" spans="1:7" x14ac:dyDescent="0.2">
      <c r="A137">
        <v>2022</v>
      </c>
      <c r="B137" s="46">
        <v>94.35</v>
      </c>
    </row>
    <row r="138" spans="1:7" x14ac:dyDescent="0.2">
      <c r="A138">
        <v>2023</v>
      </c>
      <c r="B138" s="46">
        <v>100.825</v>
      </c>
    </row>
    <row r="139" spans="1:7" x14ac:dyDescent="0.2">
      <c r="A139">
        <v>2024</v>
      </c>
      <c r="B139" s="46">
        <v>107.67500000000001</v>
      </c>
      <c r="C139" s="46">
        <v>107.67500000000001</v>
      </c>
      <c r="D139" s="46">
        <v>107.67500000000001</v>
      </c>
      <c r="E139" s="46">
        <v>107.67500000000001</v>
      </c>
    </row>
    <row r="140" spans="1:7" x14ac:dyDescent="0.2">
      <c r="A140">
        <v>2025</v>
      </c>
      <c r="C140" s="46">
        <f>_xlfn.FORECAST.ETS(A140,$B$2:$B$12,$A$2:$A$12,1,1)</f>
        <v>306.35309369100167</v>
      </c>
      <c r="D140" s="46">
        <f>C140-_xlfn.FORECAST.ETS.CONFINT(A140,$B$2:$B$12,$A$2:$A$12,0.95,1,1)</f>
        <v>302.66142579447529</v>
      </c>
      <c r="E140" s="46">
        <f>C140+_xlfn.FORECAST.ETS.CONFINT(A140,$B$2:$B$12,$A$2:$A$12,0.95,1,1)</f>
        <v>310.04476158752806</v>
      </c>
    </row>
    <row r="141" spans="1:7" x14ac:dyDescent="0.2">
      <c r="A141">
        <v>2026</v>
      </c>
      <c r="C141" s="46">
        <f>_xlfn.FORECAST.ETS(A141,$B$2:$B$12,$A$2:$A$12,1,1)</f>
        <v>310.78349343392711</v>
      </c>
      <c r="D141" s="46">
        <f>C141-_xlfn.FORECAST.ETS.CONFINT(A141,$B$2:$B$12,$A$2:$A$12,0.95,1,1)</f>
        <v>306.67676121889872</v>
      </c>
      <c r="E141" s="46">
        <f>C141+_xlfn.FORECAST.ETS.CONFINT(A141,$B$2:$B$12,$A$2:$A$12,0.95,1,1)</f>
        <v>314.89022564895549</v>
      </c>
    </row>
    <row r="142" spans="1:7" x14ac:dyDescent="0.2">
      <c r="A142">
        <v>2027</v>
      </c>
      <c r="C142" s="46">
        <f>_xlfn.FORECAST.ETS(A142,$B$2:$B$12,$A$2:$A$12,1,1)</f>
        <v>315.21389317685248</v>
      </c>
      <c r="D142" s="46">
        <f>C142-_xlfn.FORECAST.ETS.CONFINT(A142,$B$2:$B$12,$A$2:$A$12,0.95,1,1)</f>
        <v>310.72955908808694</v>
      </c>
      <c r="E142" s="46">
        <f>C142+_xlfn.FORECAST.ETS.CONFINT(A142,$B$2:$B$12,$A$2:$A$12,0.95,1,1)</f>
        <v>319.69822726561802</v>
      </c>
    </row>
    <row r="143" spans="1:7" x14ac:dyDescent="0.2">
      <c r="G143" s="50" t="s">
        <v>89</v>
      </c>
    </row>
    <row r="166" spans="1:5" x14ac:dyDescent="0.2">
      <c r="A166" s="50" t="s">
        <v>90</v>
      </c>
    </row>
    <row r="168" spans="1:5" ht="63.75" x14ac:dyDescent="0.2">
      <c r="A168" t="s">
        <v>2</v>
      </c>
      <c r="B168" s="124" t="s">
        <v>71</v>
      </c>
      <c r="C168" s="124" t="s">
        <v>79</v>
      </c>
      <c r="D168" s="124" t="s">
        <v>80</v>
      </c>
      <c r="E168" s="124" t="s">
        <v>81</v>
      </c>
    </row>
    <row r="169" spans="1:5" x14ac:dyDescent="0.2">
      <c r="A169">
        <v>2014</v>
      </c>
      <c r="B169" s="9">
        <v>63.066666666666663</v>
      </c>
    </row>
    <row r="170" spans="1:5" x14ac:dyDescent="0.2">
      <c r="A170">
        <v>2015</v>
      </c>
      <c r="B170" s="9">
        <v>68.224999999999994</v>
      </c>
    </row>
    <row r="171" spans="1:5" x14ac:dyDescent="0.2">
      <c r="A171">
        <v>2016</v>
      </c>
      <c r="B171" s="9">
        <v>74.650000000000006</v>
      </c>
    </row>
    <row r="172" spans="1:5" x14ac:dyDescent="0.2">
      <c r="A172">
        <v>2017</v>
      </c>
      <c r="B172" s="9">
        <v>80.849999999999994</v>
      </c>
    </row>
    <row r="173" spans="1:5" x14ac:dyDescent="0.2">
      <c r="A173">
        <v>2018</v>
      </c>
      <c r="B173" s="9">
        <v>87</v>
      </c>
    </row>
    <row r="174" spans="1:5" x14ac:dyDescent="0.2">
      <c r="A174">
        <v>2019</v>
      </c>
      <c r="B174" s="9">
        <v>93.174999999999997</v>
      </c>
    </row>
    <row r="175" spans="1:5" x14ac:dyDescent="0.2">
      <c r="A175">
        <v>2020</v>
      </c>
      <c r="B175" s="9">
        <v>98.525000000000006</v>
      </c>
    </row>
    <row r="176" spans="1:5" x14ac:dyDescent="0.2">
      <c r="A176">
        <v>2021</v>
      </c>
      <c r="B176" s="9">
        <v>103.02499999999999</v>
      </c>
    </row>
    <row r="177" spans="1:7" x14ac:dyDescent="0.2">
      <c r="A177">
        <v>2022</v>
      </c>
      <c r="B177" s="9">
        <v>106.72500000000001</v>
      </c>
    </row>
    <row r="178" spans="1:7" x14ac:dyDescent="0.2">
      <c r="A178">
        <v>2023</v>
      </c>
      <c r="B178" s="9">
        <v>110.69999999999999</v>
      </c>
    </row>
    <row r="179" spans="1:7" x14ac:dyDescent="0.2">
      <c r="A179">
        <v>2024</v>
      </c>
      <c r="B179" s="9">
        <v>108.6</v>
      </c>
      <c r="C179" s="9">
        <v>108.6</v>
      </c>
      <c r="D179" s="9">
        <v>108.6</v>
      </c>
      <c r="E179" s="9">
        <v>108.6</v>
      </c>
    </row>
    <row r="180" spans="1:7" x14ac:dyDescent="0.2">
      <c r="A180">
        <v>2025</v>
      </c>
      <c r="C180" s="9">
        <f>_xlfn.FORECAST.ETS(A180,$B$2:$B$12,$A$2:$A$12,1,1)</f>
        <v>306.35309369100167</v>
      </c>
      <c r="D180" s="9">
        <f>C180-_xlfn.FORECAST.ETS.CONFINT(A180,$B$2:$B$12,$A$2:$A$12,0.95,1,1)</f>
        <v>302.66142579447529</v>
      </c>
      <c r="E180" s="9">
        <f>C180+_xlfn.FORECAST.ETS.CONFINT(A180,$B$2:$B$12,$A$2:$A$12,0.95,1,1)</f>
        <v>310.04476158752806</v>
      </c>
    </row>
    <row r="181" spans="1:7" x14ac:dyDescent="0.2">
      <c r="A181">
        <v>2026</v>
      </c>
      <c r="C181" s="9">
        <f>_xlfn.FORECAST.ETS(A181,$B$2:$B$12,$A$2:$A$12,1,1)</f>
        <v>310.78349343392711</v>
      </c>
      <c r="D181" s="9">
        <f>C181-_xlfn.FORECAST.ETS.CONFINT(A181,$B$2:$B$12,$A$2:$A$12,0.95,1,1)</f>
        <v>306.67676121889872</v>
      </c>
      <c r="E181" s="9">
        <f>C181+_xlfn.FORECAST.ETS.CONFINT(A181,$B$2:$B$12,$A$2:$A$12,0.95,1,1)</f>
        <v>314.89022564895549</v>
      </c>
    </row>
    <row r="182" spans="1:7" x14ac:dyDescent="0.2">
      <c r="A182">
        <v>2027</v>
      </c>
      <c r="C182" s="9">
        <f>_xlfn.FORECAST.ETS(A182,$B$2:$B$12,$A$2:$A$12,1,1)</f>
        <v>315.21389317685248</v>
      </c>
      <c r="D182" s="9">
        <f>C182-_xlfn.FORECAST.ETS.CONFINT(A182,$B$2:$B$12,$A$2:$A$12,0.95,1,1)</f>
        <v>310.72955908808694</v>
      </c>
      <c r="E182" s="9">
        <f>C182+_xlfn.FORECAST.ETS.CONFINT(A182,$B$2:$B$12,$A$2:$A$12,0.95,1,1)</f>
        <v>319.69822726561802</v>
      </c>
      <c r="G182" s="50" t="s">
        <v>91</v>
      </c>
    </row>
    <row r="208" spans="1:1" x14ac:dyDescent="0.2">
      <c r="A208" s="50" t="s">
        <v>92</v>
      </c>
    </row>
    <row r="210" spans="1:5" ht="63.75" x14ac:dyDescent="0.2">
      <c r="A210" t="s">
        <v>2</v>
      </c>
      <c r="B210" s="124" t="s">
        <v>71</v>
      </c>
      <c r="C210" s="124" t="s">
        <v>79</v>
      </c>
      <c r="D210" s="124" t="s">
        <v>80</v>
      </c>
      <c r="E210" s="124" t="s">
        <v>81</v>
      </c>
    </row>
    <row r="211" spans="1:5" x14ac:dyDescent="0.2">
      <c r="A211">
        <v>2014</v>
      </c>
      <c r="B211" s="46">
        <v>8.2333333333333325</v>
      </c>
    </row>
    <row r="212" spans="1:5" x14ac:dyDescent="0.2">
      <c r="A212">
        <v>2015</v>
      </c>
      <c r="B212" s="46">
        <v>8.1999999999999993</v>
      </c>
    </row>
    <row r="213" spans="1:5" x14ac:dyDescent="0.2">
      <c r="A213">
        <v>2016</v>
      </c>
      <c r="B213" s="46">
        <v>8.0500000000000007</v>
      </c>
    </row>
    <row r="214" spans="1:5" x14ac:dyDescent="0.2">
      <c r="A214">
        <v>2017</v>
      </c>
      <c r="B214" s="46">
        <v>7.7999999999999989</v>
      </c>
    </row>
    <row r="215" spans="1:5" x14ac:dyDescent="0.2">
      <c r="A215">
        <v>2018</v>
      </c>
      <c r="B215" s="46">
        <v>7.4250000000000007</v>
      </c>
    </row>
    <row r="216" spans="1:5" x14ac:dyDescent="0.2">
      <c r="A216">
        <v>2019</v>
      </c>
      <c r="B216" s="46">
        <v>6.4749999999999996</v>
      </c>
    </row>
    <row r="217" spans="1:5" x14ac:dyDescent="0.2">
      <c r="A217">
        <v>2020</v>
      </c>
      <c r="B217" s="46">
        <v>5.5250000000000004</v>
      </c>
    </row>
    <row r="218" spans="1:5" x14ac:dyDescent="0.2">
      <c r="A218">
        <v>2021</v>
      </c>
      <c r="B218" s="46">
        <v>4.5749999999999993</v>
      </c>
    </row>
    <row r="219" spans="1:5" x14ac:dyDescent="0.2">
      <c r="A219">
        <v>2022</v>
      </c>
      <c r="B219" s="46">
        <v>4.0750000000000002</v>
      </c>
    </row>
    <row r="220" spans="1:5" x14ac:dyDescent="0.2">
      <c r="A220">
        <v>2023</v>
      </c>
      <c r="B220" s="46">
        <v>3.7</v>
      </c>
    </row>
    <row r="221" spans="1:5" x14ac:dyDescent="0.2">
      <c r="A221">
        <v>2024</v>
      </c>
      <c r="B221" s="46">
        <v>3.35</v>
      </c>
      <c r="C221" s="46">
        <v>3.35</v>
      </c>
      <c r="D221" s="46">
        <v>3.35</v>
      </c>
      <c r="E221" s="46">
        <v>3.35</v>
      </c>
    </row>
    <row r="222" spans="1:5" x14ac:dyDescent="0.2">
      <c r="A222">
        <v>2025</v>
      </c>
      <c r="C222" s="46">
        <f>_xlfn.FORECAST.ETS(A222,$B$2:$B$12,$A$2:$A$12,1,1)</f>
        <v>306.35309369100167</v>
      </c>
      <c r="D222" s="46">
        <f>C222-_xlfn.FORECAST.ETS.CONFINT(A222,$B$2:$B$12,$A$2:$A$12,0.95,1,1)</f>
        <v>302.66142579447529</v>
      </c>
      <c r="E222" s="46">
        <f>C222+_xlfn.FORECAST.ETS.CONFINT(A222,$B$2:$B$12,$A$2:$A$12,0.95,1,1)</f>
        <v>310.04476158752806</v>
      </c>
    </row>
    <row r="223" spans="1:5" x14ac:dyDescent="0.2">
      <c r="A223">
        <v>2026</v>
      </c>
      <c r="C223" s="46">
        <f>_xlfn.FORECAST.ETS(A223,$B$2:$B$12,$A$2:$A$12,1,1)</f>
        <v>310.78349343392711</v>
      </c>
      <c r="D223" s="46">
        <f>C223-_xlfn.FORECAST.ETS.CONFINT(A223,$B$2:$B$12,$A$2:$A$12,0.95,1,1)</f>
        <v>306.67676121889872</v>
      </c>
      <c r="E223" s="46">
        <f>C223+_xlfn.FORECAST.ETS.CONFINT(A223,$B$2:$B$12,$A$2:$A$12,0.95,1,1)</f>
        <v>314.89022564895549</v>
      </c>
    </row>
    <row r="224" spans="1:5" x14ac:dyDescent="0.2">
      <c r="A224">
        <v>2027</v>
      </c>
      <c r="C224" s="46">
        <f>_xlfn.FORECAST.ETS(A224,$B$2:$B$12,$A$2:$A$12,1,1)</f>
        <v>315.21389317685248</v>
      </c>
      <c r="D224" s="46">
        <f>C224-_xlfn.FORECAST.ETS.CONFINT(A224,$B$2:$B$12,$A$2:$A$12,0.95,1,1)</f>
        <v>310.72955908808694</v>
      </c>
      <c r="E224" s="46">
        <f>C224+_xlfn.FORECAST.ETS.CONFINT(A224,$B$2:$B$12,$A$2:$A$12,0.95,1,1)</f>
        <v>319.69822726561802</v>
      </c>
    </row>
    <row r="225" spans="7:7" x14ac:dyDescent="0.2">
      <c r="G225" s="50" t="s">
        <v>93</v>
      </c>
    </row>
    <row r="251" spans="1:5" x14ac:dyDescent="0.2">
      <c r="A251" s="50" t="s">
        <v>94</v>
      </c>
    </row>
    <row r="253" spans="1:5" ht="63.75" x14ac:dyDescent="0.2">
      <c r="A253" t="s">
        <v>2</v>
      </c>
      <c r="B253" s="124" t="s">
        <v>71</v>
      </c>
      <c r="C253" s="124" t="s">
        <v>79</v>
      </c>
      <c r="D253" s="124" t="s">
        <v>80</v>
      </c>
      <c r="E253" s="124" t="s">
        <v>81</v>
      </c>
    </row>
    <row r="254" spans="1:5" x14ac:dyDescent="0.2">
      <c r="A254">
        <v>2014</v>
      </c>
      <c r="B254" s="9">
        <v>379.40000000000003</v>
      </c>
    </row>
    <row r="255" spans="1:5" x14ac:dyDescent="0.2">
      <c r="A255">
        <v>2015</v>
      </c>
      <c r="B255" s="9">
        <v>406.17499999999995</v>
      </c>
    </row>
    <row r="256" spans="1:5" x14ac:dyDescent="0.2">
      <c r="A256">
        <v>2016</v>
      </c>
      <c r="B256" s="9">
        <v>435.32500000000005</v>
      </c>
    </row>
    <row r="257" spans="1:7" x14ac:dyDescent="0.2">
      <c r="A257">
        <v>2017</v>
      </c>
      <c r="B257" s="9">
        <v>468.32499999999999</v>
      </c>
    </row>
    <row r="258" spans="1:7" x14ac:dyDescent="0.2">
      <c r="A258">
        <v>2018</v>
      </c>
      <c r="B258" s="9">
        <v>498.7</v>
      </c>
    </row>
    <row r="259" spans="1:7" x14ac:dyDescent="0.2">
      <c r="A259">
        <v>2019</v>
      </c>
      <c r="B259" s="9">
        <v>525.47500000000002</v>
      </c>
    </row>
    <row r="260" spans="1:7" x14ac:dyDescent="0.2">
      <c r="A260">
        <v>2020</v>
      </c>
      <c r="B260" s="9">
        <v>548.1</v>
      </c>
    </row>
    <row r="261" spans="1:7" x14ac:dyDescent="0.2">
      <c r="A261">
        <v>2021</v>
      </c>
      <c r="B261" s="9">
        <v>554.22500000000002</v>
      </c>
    </row>
    <row r="262" spans="1:7" x14ac:dyDescent="0.2">
      <c r="A262">
        <v>2022</v>
      </c>
      <c r="B262" s="9">
        <v>550.45000000000005</v>
      </c>
    </row>
    <row r="263" spans="1:7" x14ac:dyDescent="0.2">
      <c r="A263">
        <v>2023</v>
      </c>
      <c r="B263" s="9">
        <v>535.52499999999998</v>
      </c>
    </row>
    <row r="264" spans="1:7" x14ac:dyDescent="0.2">
      <c r="A264">
        <v>2024</v>
      </c>
      <c r="B264" s="9">
        <v>510.65</v>
      </c>
      <c r="C264" s="9">
        <v>510.65</v>
      </c>
      <c r="D264" s="9">
        <v>510.65</v>
      </c>
      <c r="E264" s="9">
        <v>510.65</v>
      </c>
    </row>
    <row r="265" spans="1:7" x14ac:dyDescent="0.2">
      <c r="A265">
        <v>2025</v>
      </c>
      <c r="C265" s="9">
        <f>_xlfn.FORECAST.ETS(A265,$B$2:$B$12,$A$2:$A$12,1,1)</f>
        <v>306.35309369100167</v>
      </c>
      <c r="D265" s="9">
        <f>C265-_xlfn.FORECAST.ETS.CONFINT(A265,$B$2:$B$12,$A$2:$A$12,0.95,1,1)</f>
        <v>302.66142579447529</v>
      </c>
      <c r="E265" s="9">
        <f>C265+_xlfn.FORECAST.ETS.CONFINT(A265,$B$2:$B$12,$A$2:$A$12,0.95,1,1)</f>
        <v>310.04476158752806</v>
      </c>
    </row>
    <row r="266" spans="1:7" x14ac:dyDescent="0.2">
      <c r="A266">
        <v>2026</v>
      </c>
      <c r="C266" s="9">
        <f>_xlfn.FORECAST.ETS(A266,$B$2:$B$12,$A$2:$A$12,1,1)</f>
        <v>310.78349343392711</v>
      </c>
      <c r="D266" s="9">
        <f>C266-_xlfn.FORECAST.ETS.CONFINT(A266,$B$2:$B$12,$A$2:$A$12,0.95,1,1)</f>
        <v>306.67676121889872</v>
      </c>
      <c r="E266" s="9">
        <f>C266+_xlfn.FORECAST.ETS.CONFINT(A266,$B$2:$B$12,$A$2:$A$12,0.95,1,1)</f>
        <v>314.89022564895549</v>
      </c>
    </row>
    <row r="267" spans="1:7" x14ac:dyDescent="0.2">
      <c r="A267">
        <v>2027</v>
      </c>
      <c r="C267" s="9">
        <f>_xlfn.FORECAST.ETS(A267,$B$2:$B$12,$A$2:$A$12,1,1)</f>
        <v>315.21389317685248</v>
      </c>
      <c r="D267" s="9">
        <f>C267-_xlfn.FORECAST.ETS.CONFINT(A267,$B$2:$B$12,$A$2:$A$12,0.95,1,1)</f>
        <v>310.72955908808694</v>
      </c>
      <c r="E267" s="9">
        <f>C267+_xlfn.FORECAST.ETS.CONFINT(A267,$B$2:$B$12,$A$2:$A$12,0.95,1,1)</f>
        <v>319.69822726561802</v>
      </c>
    </row>
    <row r="268" spans="1:7" x14ac:dyDescent="0.2">
      <c r="G268" s="50" t="s">
        <v>95</v>
      </c>
    </row>
  </sheetData>
  <mergeCells count="1">
    <mergeCell ref="A126:D126"/>
  </mergeCells>
  <pageMargins left="0.7" right="0.7" top="0.75" bottom="0.75" header="0.3" footer="0.3"/>
  <drawing r:id="rId1"/>
  <tableParts count="7">
    <tablePart r:id="rId2"/>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8e2ce8b7-93fd-47d4-b6ce-7d3e60c492c9">
      <Terms xmlns="http://schemas.microsoft.com/office/infopath/2007/PartnerControls"/>
    </lcf76f155ced4ddcb4097134ff3c332f>
    <_ip_UnifiedCompliancePolicyProperties xmlns="http://schemas.microsoft.com/sharepoint/v3" xsi:nil="true"/>
    <Folder_x0020_Description xmlns="8e2ce8b7-93fd-47d4-b6ce-7d3e60c492c9" xsi:nil="true"/>
    <TaxCatchAll xmlns="2a2db8c4-56ab-4882-a5d0-0fe8165c6658"/>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35B1C6FF60030546809DA2372D00398F" ma:contentTypeVersion="23" ma:contentTypeDescription="Create a new document." ma:contentTypeScope="" ma:versionID="20677bb770cd54122f39631b51a94fe7">
  <xsd:schema xmlns:xsd="http://www.w3.org/2001/XMLSchema" xmlns:xs="http://www.w3.org/2001/XMLSchema" xmlns:p="http://schemas.microsoft.com/office/2006/metadata/properties" xmlns:ns1="http://schemas.microsoft.com/sharepoint/v3" xmlns:ns2="41d6d728-afb5-49e6-a79f-5f3b4d7fb77b" xmlns:ns3="8e2ce8b7-93fd-47d4-b6ce-7d3e60c492c9" xmlns:ns4="2a2db8c4-56ab-4882-a5d0-0fe8165c6658" targetNamespace="http://schemas.microsoft.com/office/2006/metadata/properties" ma:root="true" ma:fieldsID="c763253227883be4835a99fb9b997cad" ns1:_="" ns2:_="" ns3:_="" ns4:_="">
    <xsd:import namespace="http://schemas.microsoft.com/sharepoint/v3"/>
    <xsd:import namespace="41d6d728-afb5-49e6-a79f-5f3b4d7fb77b"/>
    <xsd:import namespace="8e2ce8b7-93fd-47d4-b6ce-7d3e60c492c9"/>
    <xsd:import namespace="2a2db8c4-56ab-4882-a5d0-0fe8165c6658"/>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DateTaken" minOccurs="0"/>
                <xsd:element ref="ns3:MediaServiceAutoTags" minOccurs="0"/>
                <xsd:element ref="ns3:MediaServiceOCR" minOccurs="0"/>
                <xsd:element ref="ns3:MediaServiceLocation" minOccurs="0"/>
                <xsd:element ref="ns3:MediaServiceAutoKeyPoints" minOccurs="0"/>
                <xsd:element ref="ns3:MediaServiceKeyPoints" minOccurs="0"/>
                <xsd:element ref="ns3:Folder_x0020_Description" minOccurs="0"/>
                <xsd:element ref="ns3:MediaLengthInSeconds" minOccurs="0"/>
                <xsd:element ref="ns3:lcf76f155ced4ddcb4097134ff3c332f" minOccurs="0"/>
                <xsd:element ref="ns4: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3" nillable="true" ma:displayName="Unified Compliance Policy Properties" ma:hidden="true" ma:internalName="_ip_UnifiedCompliancePolicyProperties">
      <xsd:simpleType>
        <xsd:restriction base="dms:Note"/>
      </xsd:simpleType>
    </xsd:element>
    <xsd:element name="_ip_UnifiedCompliancePolicyUIAction" ma:index="1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1d6d728-afb5-49e6-a79f-5f3b4d7fb77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e2ce8b7-93fd-47d4-b6ce-7d3e60c492c9"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Folder_x0020_Description" ma:index="23" nillable="true" ma:displayName="Folder/File Description" ma:description="Test" ma:format="Dropdown" ma:internalName="Folder_x0020_Description">
      <xsd:simpleType>
        <xsd:restriction base="dms:Note">
          <xsd:maxLength value="255"/>
        </xsd:restriction>
      </xsd:simpleType>
    </xsd:element>
    <xsd:element name="MediaLengthInSeconds" ma:index="24" nillable="true" ma:displayName="Length (seconds)" ma:internalName="MediaLengthInSeconds" ma:readOnly="true">
      <xsd:simpleType>
        <xsd:restriction base="dms:Unknown"/>
      </xsd:simpleType>
    </xsd:element>
    <xsd:element name="lcf76f155ced4ddcb4097134ff3c332f" ma:index="26" nillable="true" ma:taxonomy="true" ma:internalName="lcf76f155ced4ddcb4097134ff3c332f" ma:taxonomyFieldName="MediaServiceImageTags" ma:displayName="Image Tags" ma:readOnly="false" ma:fieldId="{5cf76f15-5ced-4ddc-b409-7134ff3c332f}" ma:taxonomyMulti="true" ma:sspId="557479ed-16e3-4c54-a34b-e226e0af443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8"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a2db8c4-56ab-4882-a5d0-0fe8165c6658" elementFormDefault="qualified">
    <xsd:import namespace="http://schemas.microsoft.com/office/2006/documentManagement/types"/>
    <xsd:import namespace="http://schemas.microsoft.com/office/infopath/2007/PartnerControls"/>
    <xsd:element name="TaxCatchAll" ma:index="27" nillable="true" ma:displayName="Taxonomy Catch All Column" ma:hidden="true" ma:list="{2c2c1190-4f17-478e-b1b2-58572ef7f49c}" ma:internalName="TaxCatchAll" ma:showField="CatchAllData" ma:web="41d6d728-afb5-49e6-a79f-5f3b4d7fb77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78CC118-63DF-444F-85DA-12826610BDAA}">
  <ds:schemaRefs>
    <ds:schemaRef ds:uri="http://schemas.microsoft.com/sharepoint/v3"/>
    <ds:schemaRef ds:uri="41d6d728-afb5-49e6-a79f-5f3b4d7fb77b"/>
    <ds:schemaRef ds:uri="8e2ce8b7-93fd-47d4-b6ce-7d3e60c492c9"/>
    <ds:schemaRef ds:uri="http://purl.org/dc/elements/1.1/"/>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schemas.microsoft.com/office/infopath/2007/PartnerControls"/>
    <ds:schemaRef ds:uri="2a2db8c4-56ab-4882-a5d0-0fe8165c6658"/>
    <ds:schemaRef ds:uri="http://www.w3.org/XML/1998/namespace"/>
    <ds:schemaRef ds:uri="http://purl.org/dc/dcmitype/"/>
  </ds:schemaRefs>
</ds:datastoreItem>
</file>

<file path=customXml/itemProps2.xml><?xml version="1.0" encoding="utf-8"?>
<ds:datastoreItem xmlns:ds="http://schemas.openxmlformats.org/officeDocument/2006/customXml" ds:itemID="{559B86ED-18F2-4E44-8C1D-AB6022A93456}">
  <ds:schemaRefs>
    <ds:schemaRef ds:uri="http://schemas.microsoft.com/DataMashup"/>
  </ds:schemaRefs>
</ds:datastoreItem>
</file>

<file path=customXml/itemProps3.xml><?xml version="1.0" encoding="utf-8"?>
<ds:datastoreItem xmlns:ds="http://schemas.openxmlformats.org/officeDocument/2006/customXml" ds:itemID="{7CF810CC-E88C-4FE7-83BA-EC76FEF2C1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1d6d728-afb5-49e6-a79f-5f3b4d7fb77b"/>
    <ds:schemaRef ds:uri="8e2ce8b7-93fd-47d4-b6ce-7d3e60c492c9"/>
    <ds:schemaRef ds:uri="2a2db8c4-56ab-4882-a5d0-0fe8165c66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407DD17-3301-41E4-96B4-47813CFC59F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PortfoliobyLoanType</vt:lpstr>
      <vt:lpstr>Time Series Analysis</vt:lpstr>
      <vt:lpstr>Transformed Data for Pivoting</vt:lpstr>
      <vt:lpstr>Pivot Table Drill-down by Loan </vt:lpstr>
      <vt:lpstr>Loan Type Comparison by Recipie</vt:lpstr>
      <vt:lpstr>Forecasting trends - Loan Type</vt:lpstr>
    </vt:vector>
  </TitlesOfParts>
  <Company>U.S. Department of Education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Tara.Young</dc:creator>
  <cp:lastModifiedBy>Sujoy Datta Choudhury</cp:lastModifiedBy>
  <cp:lastPrinted>2013-07-16T13:09:51Z</cp:lastPrinted>
  <dcterms:created xsi:type="dcterms:W3CDTF">2009-04-08T18:24:26Z</dcterms:created>
  <dcterms:modified xsi:type="dcterms:W3CDTF">2025-03-20T23:32:13Z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0x01010043E505894D96A34CB29442873116C740</vt:lpwstr>
  </property>
</Properties>
</file>